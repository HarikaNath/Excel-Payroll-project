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k\Desktop\harika desk\Resume Projects\"/>
    </mc:Choice>
  </mc:AlternateContent>
  <xr:revisionPtr revIDLastSave="0" documentId="8_{0BCE0325-AEA1-4D4A-A730-9402F6A4FC65}" xr6:coauthVersionLast="47" xr6:coauthVersionMax="47" xr10:uidLastSave="{00000000-0000-0000-0000-000000000000}"/>
  <bookViews>
    <workbookView xWindow="-96" yWindow="0" windowWidth="11712" windowHeight="12336" firstSheet="1" activeTab="2" xr2:uid="{7818B2A9-214E-41A5-9559-1756270BDDA4}"/>
  </bookViews>
  <sheets>
    <sheet name="Payroll" sheetId="1" r:id="rId1"/>
    <sheet name="Overtime=Bonus" sheetId="2" r:id="rId2"/>
    <sheet name="Jan Payro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D23" i="3"/>
  <c r="D24" i="3"/>
  <c r="D25" i="3"/>
  <c r="AD25" i="3"/>
  <c r="AD24" i="3"/>
  <c r="AD23" i="3"/>
  <c r="AD22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4" i="3"/>
  <c r="Z13" i="3"/>
  <c r="X11" i="3"/>
  <c r="AB8" i="3"/>
  <c r="Y4" i="3"/>
  <c r="Z4" i="3"/>
  <c r="AA4" i="3"/>
  <c r="AB4" i="3"/>
  <c r="Y5" i="3"/>
  <c r="Z5" i="3"/>
  <c r="AA5" i="3"/>
  <c r="AB5" i="3"/>
  <c r="Y6" i="3"/>
  <c r="Z6" i="3"/>
  <c r="AA6" i="3"/>
  <c r="AB6" i="3"/>
  <c r="Y7" i="3"/>
  <c r="Z7" i="3"/>
  <c r="AA7" i="3"/>
  <c r="AB7" i="3"/>
  <c r="Y8" i="3"/>
  <c r="Z8" i="3"/>
  <c r="AA8" i="3"/>
  <c r="Y9" i="3"/>
  <c r="Z9" i="3"/>
  <c r="AA9" i="3"/>
  <c r="AB9" i="3"/>
  <c r="Y10" i="3"/>
  <c r="Z10" i="3"/>
  <c r="AA10" i="3"/>
  <c r="AB10" i="3"/>
  <c r="Y11" i="3"/>
  <c r="Z11" i="3"/>
  <c r="AA11" i="3"/>
  <c r="AB11" i="3"/>
  <c r="Y12" i="3"/>
  <c r="Z12" i="3"/>
  <c r="AA12" i="3"/>
  <c r="AB12" i="3"/>
  <c r="Y13" i="3"/>
  <c r="AA13" i="3"/>
  <c r="AB13" i="3"/>
  <c r="Y14" i="3"/>
  <c r="Z14" i="3"/>
  <c r="AA14" i="3"/>
  <c r="AB14" i="3"/>
  <c r="Y15" i="3"/>
  <c r="Z15" i="3"/>
  <c r="AA15" i="3"/>
  <c r="AB15" i="3"/>
  <c r="Y16" i="3"/>
  <c r="Z16" i="3"/>
  <c r="AA16" i="3"/>
  <c r="AB16" i="3"/>
  <c r="Y17" i="3"/>
  <c r="Z17" i="3"/>
  <c r="AA17" i="3"/>
  <c r="AB17" i="3"/>
  <c r="Y18" i="3"/>
  <c r="Z18" i="3"/>
  <c r="AA18" i="3"/>
  <c r="AB18" i="3"/>
  <c r="Y19" i="3"/>
  <c r="Z19" i="3"/>
  <c r="AA19" i="3"/>
  <c r="AB19" i="3"/>
  <c r="Y20" i="3"/>
  <c r="Z20" i="3"/>
  <c r="AA20" i="3"/>
  <c r="AB20" i="3"/>
  <c r="X5" i="3"/>
  <c r="X6" i="3"/>
  <c r="X7" i="3"/>
  <c r="X8" i="3"/>
  <c r="X9" i="3"/>
  <c r="X10" i="3"/>
  <c r="X12" i="3"/>
  <c r="X13" i="3"/>
  <c r="X14" i="3"/>
  <c r="X15" i="3"/>
  <c r="X16" i="3"/>
  <c r="X17" i="3"/>
  <c r="X18" i="3"/>
  <c r="X19" i="3"/>
  <c r="X20" i="3"/>
  <c r="X4" i="3"/>
  <c r="Y3" i="3"/>
  <c r="Z3" i="3" s="1"/>
  <c r="AA3" i="3" s="1"/>
  <c r="AB3" i="3" s="1"/>
  <c r="W20" i="3"/>
  <c r="V20" i="3"/>
  <c r="U20" i="3"/>
  <c r="T20" i="3"/>
  <c r="W19" i="3"/>
  <c r="V19" i="3"/>
  <c r="U19" i="3"/>
  <c r="T19" i="3"/>
  <c r="W18" i="3"/>
  <c r="V18" i="3"/>
  <c r="U18" i="3"/>
  <c r="T18" i="3"/>
  <c r="W17" i="3"/>
  <c r="V17" i="3"/>
  <c r="U17" i="3"/>
  <c r="T17" i="3"/>
  <c r="W16" i="3"/>
  <c r="V16" i="3"/>
  <c r="U16" i="3"/>
  <c r="T16" i="3"/>
  <c r="W15" i="3"/>
  <c r="V15" i="3"/>
  <c r="U15" i="3"/>
  <c r="T15" i="3"/>
  <c r="W14" i="3"/>
  <c r="V14" i="3"/>
  <c r="U14" i="3"/>
  <c r="T14" i="3"/>
  <c r="W13" i="3"/>
  <c r="V13" i="3"/>
  <c r="U13" i="3"/>
  <c r="T13" i="3"/>
  <c r="W12" i="3"/>
  <c r="V12" i="3"/>
  <c r="U12" i="3"/>
  <c r="T12" i="3"/>
  <c r="W11" i="3"/>
  <c r="V11" i="3"/>
  <c r="U11" i="3"/>
  <c r="T11" i="3"/>
  <c r="W10" i="3"/>
  <c r="V10" i="3"/>
  <c r="U10" i="3"/>
  <c r="T10" i="3"/>
  <c r="W9" i="3"/>
  <c r="V9" i="3"/>
  <c r="U9" i="3"/>
  <c r="T9" i="3"/>
  <c r="W8" i="3"/>
  <c r="V8" i="3"/>
  <c r="U8" i="3"/>
  <c r="T8" i="3"/>
  <c r="W7" i="3"/>
  <c r="V7" i="3"/>
  <c r="U7" i="3"/>
  <c r="T7" i="3"/>
  <c r="W6" i="3"/>
  <c r="V6" i="3"/>
  <c r="U6" i="3"/>
  <c r="T6" i="3"/>
  <c r="W5" i="3"/>
  <c r="V5" i="3"/>
  <c r="U5" i="3"/>
  <c r="T5" i="3"/>
  <c r="W4" i="3"/>
  <c r="V4" i="3"/>
  <c r="U4" i="3"/>
  <c r="T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4" i="3"/>
  <c r="U3" i="3"/>
  <c r="V3" i="3" s="1"/>
  <c r="W3" i="3" s="1"/>
  <c r="T3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4" i="3"/>
  <c r="O3" i="3"/>
  <c r="P3" i="3" s="1"/>
  <c r="Q3" i="3" s="1"/>
  <c r="R3" i="3" s="1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J4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3" i="3"/>
  <c r="K3" i="3" s="1"/>
  <c r="L3" i="3" s="1"/>
  <c r="M3" i="3" s="1"/>
  <c r="E3" i="3"/>
  <c r="F3" i="3" s="1"/>
  <c r="G3" i="3" s="1"/>
  <c r="H3" i="3" s="1"/>
  <c r="C24" i="3"/>
  <c r="C23" i="3"/>
  <c r="D22" i="3"/>
  <c r="C22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H25" i="2"/>
  <c r="H24" i="2"/>
  <c r="H23" i="2"/>
  <c r="H22" i="2"/>
  <c r="G25" i="2"/>
  <c r="G24" i="2"/>
  <c r="G23" i="2"/>
  <c r="G22" i="2"/>
  <c r="F2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4" i="2"/>
  <c r="E4" i="2"/>
  <c r="D25" i="2"/>
  <c r="D24" i="2"/>
  <c r="C24" i="2"/>
  <c r="D23" i="2"/>
  <c r="C23" i="2"/>
  <c r="D22" i="2"/>
  <c r="C22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F25" i="2" s="1"/>
  <c r="E6" i="2"/>
  <c r="F5" i="2"/>
  <c r="E5" i="2"/>
  <c r="F4" i="2"/>
  <c r="F24" i="2" s="1"/>
  <c r="D25" i="1"/>
  <c r="D24" i="1"/>
  <c r="D23" i="1"/>
  <c r="D22" i="1"/>
  <c r="C24" i="1"/>
  <c r="C23" i="1"/>
  <c r="C2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F23" i="2" l="1"/>
  <c r="E23" i="1"/>
  <c r="E24" i="1"/>
  <c r="E25" i="1"/>
  <c r="E22" i="1"/>
</calcChain>
</file>

<file path=xl/sharedStrings.xml><?xml version="1.0" encoding="utf-8"?>
<sst xmlns="http://schemas.openxmlformats.org/spreadsheetml/2006/main" count="139" uniqueCount="48">
  <si>
    <t>Employee Payroll</t>
  </si>
  <si>
    <t>Last Name</t>
  </si>
  <si>
    <t>First Name</t>
  </si>
  <si>
    <t>Hourly Wage</t>
  </si>
  <si>
    <t xml:space="preserve">Hours Worked </t>
  </si>
  <si>
    <t>Pay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</si>
  <si>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</si>
  <si>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</si>
  <si>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</si>
  <si>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</si>
  <si>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</si>
  <si>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</si>
  <si>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</si>
  <si>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</si>
  <si>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</si>
  <si>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</si>
  <si>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</si>
  <si>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</si>
  <si>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</si>
  <si>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</si>
  <si>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</si>
  <si>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</si>
  <si>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 xml:space="preserve">Westerfield </t>
  </si>
  <si>
    <t>Dennis</t>
  </si>
  <si>
    <t>Penfold</t>
  </si>
  <si>
    <t>Sandy</t>
  </si>
  <si>
    <t>Linda</t>
  </si>
  <si>
    <t xml:space="preserve">Olivia </t>
  </si>
  <si>
    <t>Blessing</t>
  </si>
  <si>
    <t xml:space="preserve">Chandra </t>
  </si>
  <si>
    <t>Bill</t>
  </si>
  <si>
    <t xml:space="preserve">Trent </t>
  </si>
  <si>
    <t>Genesis</t>
  </si>
  <si>
    <t>Islington</t>
  </si>
  <si>
    <t>Young</t>
  </si>
  <si>
    <t>Trenton</t>
  </si>
  <si>
    <t>Engleheart</t>
  </si>
  <si>
    <t>Norman</t>
  </si>
  <si>
    <t>Mnn</t>
  </si>
  <si>
    <t>Underhill</t>
  </si>
  <si>
    <t>Max</t>
  </si>
  <si>
    <t>Min</t>
  </si>
  <si>
    <t>Average</t>
  </si>
  <si>
    <t>Total</t>
  </si>
  <si>
    <t>Overtime Hours</t>
  </si>
  <si>
    <t>Overtime Bonus</t>
  </si>
  <si>
    <t>Total 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</si>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</sst>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8" formatCode="_-[$$-409]* #,##0.00_ ;_-[$$-409]* \-#,##0.00\ ;_-[$$-409]* &quot;-&quot;??_ ;_-@_ "/>
    <numFmt numFmtId="176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164" fontId="0" fillId="0" borderId="0" xfId="0" applyNumberFormat="1"/>
    <xf numFmtId="168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8" fontId="0" fillId="4" borderId="0" xfId="0" applyNumberFormat="1" applyFill="1"/>
    <xf numFmtId="16" fontId="0" fillId="5" borderId="0" xfId="0" applyNumberFormat="1" applyFill="1"/>
    <xf numFmtId="168" fontId="0" fillId="5" borderId="0" xfId="0" applyNumberFormat="1" applyFill="1"/>
    <xf numFmtId="176" fontId="0" fillId="6" borderId="0" xfId="0" applyNumberFormat="1" applyFill="1" applyAlignment="1">
      <alignment wrapText="1"/>
    </xf>
    <xf numFmtId="16" fontId="0" fillId="6" borderId="0" xfId="0" applyNumberFormat="1" applyFill="1"/>
    <xf numFmtId="168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04CF-A2E1-4E42-A31C-C61085E0FEAF}">
  <dimension ref="A1:E25"/>
  <sheetViews>
    <sheetView workbookViewId="0">
      <selection activeCell="G11" sqref="G11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2.5546875" bestFit="1" customWidth="1"/>
    <col min="4" max="4" width="12.77734375" bestFit="1" customWidth="1"/>
    <col min="5" max="5" width="11.109375" bestFit="1" customWidth="1"/>
  </cols>
  <sheetData>
    <row r="1" spans="1:5" x14ac:dyDescent="0.3">
      <c r="A1" t="s">
        <v>0</v>
      </c>
    </row>
    <row r="2" spans="1:5" x14ac:dyDescent="0.3">
      <c r="D2" t="s">
        <v>4</v>
      </c>
      <c r="E2" t="s">
        <v>5</v>
      </c>
    </row>
    <row r="3" spans="1:5" x14ac:dyDescent="0.3">
      <c r="A3" t="s">
        <v>1</v>
      </c>
      <c r="B3" t="s">
        <v>2</v>
      </c>
      <c r="C3" t="s">
        <v>3</v>
      </c>
      <c r="D3" s="1">
        <v>45658</v>
      </c>
    </row>
    <row r="4" spans="1:5" x14ac:dyDescent="0.3">
      <c r="A4" t="s">
        <v>6</v>
      </c>
      <c r="B4" t="s">
        <v>7</v>
      </c>
      <c r="C4" s="3">
        <v>15.9</v>
      </c>
      <c r="D4">
        <v>41</v>
      </c>
      <c r="E4" s="3">
        <f>C4*D4</f>
        <v>651.9</v>
      </c>
    </row>
    <row r="5" spans="1:5" x14ac:dyDescent="0.3">
      <c r="A5" t="s">
        <v>8</v>
      </c>
      <c r="B5" t="s">
        <v>9</v>
      </c>
      <c r="C5" s="3">
        <v>16.899999999999999</v>
      </c>
      <c r="D5">
        <v>42</v>
      </c>
      <c r="E5" s="3">
        <f t="shared" ref="E5:E20" si="0">C5*D5</f>
        <v>709.8</v>
      </c>
    </row>
    <row r="6" spans="1:5" x14ac:dyDescent="0.3">
      <c r="A6" t="s">
        <v>10</v>
      </c>
      <c r="B6" t="s">
        <v>11</v>
      </c>
      <c r="C6" s="3">
        <v>17.899999999999999</v>
      </c>
      <c r="D6">
        <v>49</v>
      </c>
      <c r="E6" s="3">
        <f t="shared" si="0"/>
        <v>877.09999999999991</v>
      </c>
    </row>
    <row r="7" spans="1:5" x14ac:dyDescent="0.3">
      <c r="A7" t="s">
        <v>12</v>
      </c>
      <c r="B7" t="s">
        <v>13</v>
      </c>
      <c r="C7" s="3">
        <v>18.899999999999999</v>
      </c>
      <c r="D7">
        <v>41</v>
      </c>
      <c r="E7" s="3">
        <f t="shared" si="0"/>
        <v>774.9</v>
      </c>
    </row>
    <row r="8" spans="1:5" x14ac:dyDescent="0.3">
      <c r="A8" t="s">
        <v>14</v>
      </c>
      <c r="B8" t="s">
        <v>15</v>
      </c>
      <c r="C8" s="3">
        <v>19.899999999999999</v>
      </c>
      <c r="D8">
        <v>39</v>
      </c>
      <c r="E8" s="3">
        <f t="shared" si="0"/>
        <v>776.09999999999991</v>
      </c>
    </row>
    <row r="9" spans="1:5" x14ac:dyDescent="0.3">
      <c r="A9" t="s">
        <v>16</v>
      </c>
      <c r="B9" t="s">
        <v>17</v>
      </c>
      <c r="C9" s="3">
        <v>20.9</v>
      </c>
      <c r="D9">
        <v>44</v>
      </c>
      <c r="E9" s="3">
        <f t="shared" si="0"/>
        <v>919.59999999999991</v>
      </c>
    </row>
    <row r="10" spans="1:5" x14ac:dyDescent="0.3">
      <c r="A10" t="s">
        <v>18</v>
      </c>
      <c r="B10" t="s">
        <v>19</v>
      </c>
      <c r="C10" s="3">
        <v>21.9</v>
      </c>
      <c r="D10">
        <v>55</v>
      </c>
      <c r="E10" s="3">
        <f t="shared" si="0"/>
        <v>1204.5</v>
      </c>
    </row>
    <row r="11" spans="1:5" x14ac:dyDescent="0.3">
      <c r="A11" t="s">
        <v>20</v>
      </c>
      <c r="B11" t="s">
        <v>21</v>
      </c>
      <c r="C11" s="3">
        <v>22.9</v>
      </c>
      <c r="D11">
        <v>33</v>
      </c>
      <c r="E11" s="3">
        <f t="shared" si="0"/>
        <v>755.69999999999993</v>
      </c>
    </row>
    <row r="12" spans="1:5" x14ac:dyDescent="0.3">
      <c r="A12" t="s">
        <v>22</v>
      </c>
      <c r="B12" t="s">
        <v>23</v>
      </c>
      <c r="C12" s="3">
        <v>23.9</v>
      </c>
      <c r="D12">
        <v>29</v>
      </c>
      <c r="E12" s="3">
        <f t="shared" si="0"/>
        <v>693.09999999999991</v>
      </c>
    </row>
    <row r="13" spans="1:5" x14ac:dyDescent="0.3">
      <c r="A13" t="s">
        <v>24</v>
      </c>
      <c r="B13" t="s">
        <v>25</v>
      </c>
      <c r="C13" s="3">
        <v>24.9</v>
      </c>
      <c r="D13">
        <v>40</v>
      </c>
      <c r="E13" s="3">
        <f t="shared" si="0"/>
        <v>996</v>
      </c>
    </row>
    <row r="14" spans="1:5" x14ac:dyDescent="0.3">
      <c r="A14" t="s">
        <v>33</v>
      </c>
      <c r="B14" t="s">
        <v>26</v>
      </c>
      <c r="C14" s="3">
        <v>25.9</v>
      </c>
      <c r="D14">
        <v>40</v>
      </c>
      <c r="E14" s="3">
        <f t="shared" si="0"/>
        <v>1036</v>
      </c>
    </row>
    <row r="15" spans="1:5" x14ac:dyDescent="0.3">
      <c r="A15" t="s">
        <v>34</v>
      </c>
      <c r="B15" t="s">
        <v>27</v>
      </c>
      <c r="C15" s="3">
        <v>26.9</v>
      </c>
      <c r="D15">
        <v>40</v>
      </c>
      <c r="E15" s="3">
        <f t="shared" si="0"/>
        <v>1076</v>
      </c>
    </row>
    <row r="16" spans="1:5" x14ac:dyDescent="0.3">
      <c r="A16" t="s">
        <v>35</v>
      </c>
      <c r="B16" t="s">
        <v>28</v>
      </c>
      <c r="C16" s="3">
        <v>27.9</v>
      </c>
      <c r="D16">
        <v>42</v>
      </c>
      <c r="E16" s="3">
        <f t="shared" si="0"/>
        <v>1171.8</v>
      </c>
    </row>
    <row r="17" spans="1:5" x14ac:dyDescent="0.3">
      <c r="A17" t="s">
        <v>36</v>
      </c>
      <c r="B17" t="s">
        <v>29</v>
      </c>
      <c r="C17" s="3">
        <v>8.44</v>
      </c>
      <c r="D17">
        <v>40</v>
      </c>
      <c r="E17" s="3">
        <f t="shared" si="0"/>
        <v>337.59999999999997</v>
      </c>
    </row>
    <row r="18" spans="1:5" x14ac:dyDescent="0.3">
      <c r="A18" t="s">
        <v>37</v>
      </c>
      <c r="B18" t="s">
        <v>30</v>
      </c>
      <c r="C18" s="3">
        <v>14.2</v>
      </c>
      <c r="D18">
        <v>40</v>
      </c>
      <c r="E18" s="3">
        <f t="shared" si="0"/>
        <v>568</v>
      </c>
    </row>
    <row r="19" spans="1:5" x14ac:dyDescent="0.3">
      <c r="A19" t="s">
        <v>38</v>
      </c>
      <c r="B19" t="s">
        <v>31</v>
      </c>
      <c r="C19" s="3">
        <v>45</v>
      </c>
      <c r="D19">
        <v>41</v>
      </c>
      <c r="E19" s="3">
        <f t="shared" si="0"/>
        <v>1845</v>
      </c>
    </row>
    <row r="20" spans="1:5" x14ac:dyDescent="0.3">
      <c r="A20" t="s">
        <v>39</v>
      </c>
      <c r="B20" t="s">
        <v>32</v>
      </c>
      <c r="C20" s="3">
        <v>30</v>
      </c>
      <c r="D20">
        <v>39</v>
      </c>
      <c r="E20" s="3">
        <f t="shared" si="0"/>
        <v>1170</v>
      </c>
    </row>
    <row r="22" spans="1:5" x14ac:dyDescent="0.3">
      <c r="A22" t="s">
        <v>40</v>
      </c>
      <c r="B22" s="3"/>
      <c r="C22" s="3">
        <f>MAX(C4:C20)</f>
        <v>45</v>
      </c>
      <c r="D22" s="2">
        <f>MAX(D4:D20)</f>
        <v>55</v>
      </c>
      <c r="E22" s="3">
        <f>MAX(E4:E20)</f>
        <v>1845</v>
      </c>
    </row>
    <row r="23" spans="1:5" x14ac:dyDescent="0.3">
      <c r="A23" t="s">
        <v>41</v>
      </c>
      <c r="B23" s="3"/>
      <c r="C23" s="3">
        <f>MIN(C4:C20)</f>
        <v>8.44</v>
      </c>
      <c r="D23" s="2">
        <f>MIN(D4:D20)</f>
        <v>29</v>
      </c>
      <c r="E23" s="3">
        <f>MIN(E4:E20)</f>
        <v>337.59999999999997</v>
      </c>
    </row>
    <row r="24" spans="1:5" x14ac:dyDescent="0.3">
      <c r="A24" t="s">
        <v>42</v>
      </c>
      <c r="B24" s="3"/>
      <c r="C24" s="3">
        <f>AVERAGE(C4:C20)</f>
        <v>22.490588235294116</v>
      </c>
      <c r="D24" s="2">
        <f>AVERAGE(D4:D20)</f>
        <v>40.882352941176471</v>
      </c>
      <c r="E24" s="3">
        <f>AVERAGE(E4:E20)</f>
        <v>915.4764705882352</v>
      </c>
    </row>
    <row r="25" spans="1:5" x14ac:dyDescent="0.3">
      <c r="A25" t="s">
        <v>43</v>
      </c>
      <c r="D25">
        <f>SUM(D4:D20)</f>
        <v>695</v>
      </c>
      <c r="E25" s="3">
        <f>SUM(E4:E20)</f>
        <v>15563.099999999999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6588-830A-4177-B003-B822FD097630}">
  <dimension ref="A1:H25"/>
  <sheetViews>
    <sheetView zoomScale="77" workbookViewId="0">
      <selection activeCell="G27" sqref="A1:XFD1048576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2.5546875" bestFit="1" customWidth="1"/>
    <col min="4" max="4" width="12.77734375" bestFit="1" customWidth="1"/>
    <col min="5" max="5" width="13.6640625" bestFit="1" customWidth="1"/>
    <col min="6" max="6" width="11.109375" bestFit="1" customWidth="1"/>
    <col min="7" max="7" width="13.77734375" bestFit="1" customWidth="1"/>
    <col min="8" max="8" width="11.109375" bestFit="1" customWidth="1"/>
  </cols>
  <sheetData>
    <row r="1" spans="1:8" x14ac:dyDescent="0.3">
      <c r="A1" t="s">
        <v>0</v>
      </c>
    </row>
    <row r="2" spans="1:8" x14ac:dyDescent="0.3">
      <c r="D2" t="s">
        <v>4</v>
      </c>
      <c r="E2" t="s">
        <v>44</v>
      </c>
      <c r="F2" t="s">
        <v>5</v>
      </c>
      <c r="G2" t="s">
        <v>45</v>
      </c>
      <c r="H2" t="s">
        <v>46</v>
      </c>
    </row>
    <row r="3" spans="1:8" x14ac:dyDescent="0.3">
      <c r="A3" t="s">
        <v>1</v>
      </c>
      <c r="B3" t="s">
        <v>2</v>
      </c>
      <c r="C3" t="s">
        <v>3</v>
      </c>
      <c r="D3" s="1">
        <v>45658</v>
      </c>
      <c r="E3" s="1"/>
    </row>
    <row r="4" spans="1:8" x14ac:dyDescent="0.3">
      <c r="A4" t="s">
        <v>6</v>
      </c>
      <c r="B4" t="s">
        <v>7</v>
      </c>
      <c r="C4" s="3">
        <v>15.9</v>
      </c>
      <c r="D4">
        <v>41</v>
      </c>
      <c r="E4">
        <f>IF(D4&gt;40,D4-40,0)</f>
        <v>1</v>
      </c>
      <c r="F4" s="3">
        <f>C4*D4</f>
        <v>651.9</v>
      </c>
      <c r="G4" s="3">
        <f>0.5*C4*E4</f>
        <v>7.95</v>
      </c>
      <c r="H4" s="3">
        <f>F4+G4</f>
        <v>659.85</v>
      </c>
    </row>
    <row r="5" spans="1:8" x14ac:dyDescent="0.3">
      <c r="A5" t="s">
        <v>8</v>
      </c>
      <c r="B5" t="s">
        <v>9</v>
      </c>
      <c r="C5" s="3">
        <v>16.899999999999999</v>
      </c>
      <c r="D5">
        <v>42</v>
      </c>
      <c r="E5">
        <f t="shared" ref="E5:E20" si="0">IF(D5&gt;40,D5-40,0)</f>
        <v>2</v>
      </c>
      <c r="F5" s="3">
        <f t="shared" ref="F5:F20" si="1">C5*D5</f>
        <v>709.8</v>
      </c>
      <c r="G5" s="3">
        <f t="shared" ref="G5:G20" si="2">0.5*C5*E5</f>
        <v>16.899999999999999</v>
      </c>
      <c r="H5" s="3">
        <f t="shared" ref="H5:H20" si="3">F5+G5</f>
        <v>726.69999999999993</v>
      </c>
    </row>
    <row r="6" spans="1:8" x14ac:dyDescent="0.3">
      <c r="A6" t="s">
        <v>10</v>
      </c>
      <c r="B6" t="s">
        <v>11</v>
      </c>
      <c r="C6" s="3">
        <v>17.899999999999999</v>
      </c>
      <c r="D6">
        <v>49</v>
      </c>
      <c r="E6">
        <f t="shared" si="0"/>
        <v>9</v>
      </c>
      <c r="F6" s="3">
        <f t="shared" si="1"/>
        <v>877.09999999999991</v>
      </c>
      <c r="G6" s="3">
        <f t="shared" si="2"/>
        <v>80.55</v>
      </c>
      <c r="H6" s="3">
        <f t="shared" si="3"/>
        <v>957.64999999999986</v>
      </c>
    </row>
    <row r="7" spans="1:8" x14ac:dyDescent="0.3">
      <c r="A7" t="s">
        <v>12</v>
      </c>
      <c r="B7" t="s">
        <v>13</v>
      </c>
      <c r="C7" s="3">
        <v>18.899999999999999</v>
      </c>
      <c r="D7">
        <v>41</v>
      </c>
      <c r="E7">
        <f t="shared" si="0"/>
        <v>1</v>
      </c>
      <c r="F7" s="3">
        <f t="shared" si="1"/>
        <v>774.9</v>
      </c>
      <c r="G7" s="3">
        <f t="shared" si="2"/>
        <v>9.4499999999999993</v>
      </c>
      <c r="H7" s="3">
        <f t="shared" si="3"/>
        <v>784.35</v>
      </c>
    </row>
    <row r="8" spans="1:8" x14ac:dyDescent="0.3">
      <c r="A8" t="s">
        <v>14</v>
      </c>
      <c r="B8" t="s">
        <v>15</v>
      </c>
      <c r="C8" s="3">
        <v>19.899999999999999</v>
      </c>
      <c r="D8">
        <v>39</v>
      </c>
      <c r="E8">
        <f t="shared" si="0"/>
        <v>0</v>
      </c>
      <c r="F8" s="3">
        <f t="shared" si="1"/>
        <v>776.09999999999991</v>
      </c>
      <c r="G8" s="3">
        <f t="shared" si="2"/>
        <v>0</v>
      </c>
      <c r="H8" s="3">
        <f t="shared" si="3"/>
        <v>776.09999999999991</v>
      </c>
    </row>
    <row r="9" spans="1:8" x14ac:dyDescent="0.3">
      <c r="A9" t="s">
        <v>16</v>
      </c>
      <c r="B9" t="s">
        <v>17</v>
      </c>
      <c r="C9" s="3">
        <v>20.9</v>
      </c>
      <c r="D9">
        <v>44</v>
      </c>
      <c r="E9">
        <f t="shared" si="0"/>
        <v>4</v>
      </c>
      <c r="F9" s="3">
        <f t="shared" si="1"/>
        <v>919.59999999999991</v>
      </c>
      <c r="G9" s="3">
        <f t="shared" si="2"/>
        <v>41.8</v>
      </c>
      <c r="H9" s="3">
        <f t="shared" si="3"/>
        <v>961.39999999999986</v>
      </c>
    </row>
    <row r="10" spans="1:8" x14ac:dyDescent="0.3">
      <c r="A10" t="s">
        <v>18</v>
      </c>
      <c r="B10" t="s">
        <v>19</v>
      </c>
      <c r="C10" s="3">
        <v>21.9</v>
      </c>
      <c r="D10">
        <v>55</v>
      </c>
      <c r="E10">
        <f t="shared" si="0"/>
        <v>15</v>
      </c>
      <c r="F10" s="3">
        <f t="shared" si="1"/>
        <v>1204.5</v>
      </c>
      <c r="G10" s="3">
        <f t="shared" si="2"/>
        <v>164.25</v>
      </c>
      <c r="H10" s="3">
        <f t="shared" si="3"/>
        <v>1368.75</v>
      </c>
    </row>
    <row r="11" spans="1:8" x14ac:dyDescent="0.3">
      <c r="A11" t="s">
        <v>20</v>
      </c>
      <c r="B11" t="s">
        <v>21</v>
      </c>
      <c r="C11" s="3">
        <v>22.9</v>
      </c>
      <c r="D11">
        <v>33</v>
      </c>
      <c r="E11">
        <f t="shared" si="0"/>
        <v>0</v>
      </c>
      <c r="F11" s="3">
        <f t="shared" si="1"/>
        <v>755.69999999999993</v>
      </c>
      <c r="G11" s="3">
        <f t="shared" si="2"/>
        <v>0</v>
      </c>
      <c r="H11" s="3">
        <f t="shared" si="3"/>
        <v>755.69999999999993</v>
      </c>
    </row>
    <row r="12" spans="1:8" x14ac:dyDescent="0.3">
      <c r="A12" t="s">
        <v>22</v>
      </c>
      <c r="B12" t="s">
        <v>23</v>
      </c>
      <c r="C12" s="3">
        <v>23.9</v>
      </c>
      <c r="D12">
        <v>29</v>
      </c>
      <c r="E12">
        <f t="shared" si="0"/>
        <v>0</v>
      </c>
      <c r="F12" s="3">
        <f t="shared" si="1"/>
        <v>693.09999999999991</v>
      </c>
      <c r="G12" s="3">
        <f t="shared" si="2"/>
        <v>0</v>
      </c>
      <c r="H12" s="3">
        <f t="shared" si="3"/>
        <v>693.09999999999991</v>
      </c>
    </row>
    <row r="13" spans="1:8" x14ac:dyDescent="0.3">
      <c r="A13" t="s">
        <v>24</v>
      </c>
      <c r="B13" t="s">
        <v>25</v>
      </c>
      <c r="C13" s="3">
        <v>24.9</v>
      </c>
      <c r="D13">
        <v>40</v>
      </c>
      <c r="E13">
        <f t="shared" si="0"/>
        <v>0</v>
      </c>
      <c r="F13" s="3">
        <f t="shared" si="1"/>
        <v>996</v>
      </c>
      <c r="G13" s="3">
        <f t="shared" si="2"/>
        <v>0</v>
      </c>
      <c r="H13" s="3">
        <f t="shared" si="3"/>
        <v>996</v>
      </c>
    </row>
    <row r="14" spans="1:8" x14ac:dyDescent="0.3">
      <c r="A14" t="s">
        <v>33</v>
      </c>
      <c r="B14" t="s">
        <v>26</v>
      </c>
      <c r="C14" s="3">
        <v>25.9</v>
      </c>
      <c r="D14">
        <v>40</v>
      </c>
      <c r="E14">
        <f t="shared" si="0"/>
        <v>0</v>
      </c>
      <c r="F14" s="3">
        <f t="shared" si="1"/>
        <v>1036</v>
      </c>
      <c r="G14" s="3">
        <f t="shared" si="2"/>
        <v>0</v>
      </c>
      <c r="H14" s="3">
        <f t="shared" si="3"/>
        <v>1036</v>
      </c>
    </row>
    <row r="15" spans="1:8" x14ac:dyDescent="0.3">
      <c r="A15" t="s">
        <v>34</v>
      </c>
      <c r="B15" t="s">
        <v>27</v>
      </c>
      <c r="C15" s="3">
        <v>26.9</v>
      </c>
      <c r="D15">
        <v>40</v>
      </c>
      <c r="E15">
        <f t="shared" si="0"/>
        <v>0</v>
      </c>
      <c r="F15" s="3">
        <f t="shared" si="1"/>
        <v>1076</v>
      </c>
      <c r="G15" s="3">
        <f t="shared" si="2"/>
        <v>0</v>
      </c>
      <c r="H15" s="3">
        <f t="shared" si="3"/>
        <v>1076</v>
      </c>
    </row>
    <row r="16" spans="1:8" x14ac:dyDescent="0.3">
      <c r="A16" t="s">
        <v>35</v>
      </c>
      <c r="B16" t="s">
        <v>28</v>
      </c>
      <c r="C16" s="3">
        <v>27.9</v>
      </c>
      <c r="D16">
        <v>42</v>
      </c>
      <c r="E16">
        <f t="shared" si="0"/>
        <v>2</v>
      </c>
      <c r="F16" s="3">
        <f t="shared" si="1"/>
        <v>1171.8</v>
      </c>
      <c r="G16" s="3">
        <f t="shared" si="2"/>
        <v>27.9</v>
      </c>
      <c r="H16" s="3">
        <f t="shared" si="3"/>
        <v>1199.7</v>
      </c>
    </row>
    <row r="17" spans="1:8" x14ac:dyDescent="0.3">
      <c r="A17" t="s">
        <v>36</v>
      </c>
      <c r="B17" t="s">
        <v>29</v>
      </c>
      <c r="C17" s="3">
        <v>8.44</v>
      </c>
      <c r="D17">
        <v>40</v>
      </c>
      <c r="E17">
        <f t="shared" si="0"/>
        <v>0</v>
      </c>
      <c r="F17" s="3">
        <f t="shared" si="1"/>
        <v>337.59999999999997</v>
      </c>
      <c r="G17" s="3">
        <f t="shared" si="2"/>
        <v>0</v>
      </c>
      <c r="H17" s="3">
        <f t="shared" si="3"/>
        <v>337.59999999999997</v>
      </c>
    </row>
    <row r="18" spans="1:8" x14ac:dyDescent="0.3">
      <c r="A18" t="s">
        <v>37</v>
      </c>
      <c r="B18" t="s">
        <v>30</v>
      </c>
      <c r="C18" s="3">
        <v>14.2</v>
      </c>
      <c r="D18">
        <v>40</v>
      </c>
      <c r="E18">
        <f t="shared" si="0"/>
        <v>0</v>
      </c>
      <c r="F18" s="3">
        <f t="shared" si="1"/>
        <v>568</v>
      </c>
      <c r="G18" s="3">
        <f t="shared" si="2"/>
        <v>0</v>
      </c>
      <c r="H18" s="3">
        <f t="shared" si="3"/>
        <v>568</v>
      </c>
    </row>
    <row r="19" spans="1:8" x14ac:dyDescent="0.3">
      <c r="A19" t="s">
        <v>38</v>
      </c>
      <c r="B19" t="s">
        <v>31</v>
      </c>
      <c r="C19" s="3">
        <v>45</v>
      </c>
      <c r="D19">
        <v>41</v>
      </c>
      <c r="E19">
        <f t="shared" si="0"/>
        <v>1</v>
      </c>
      <c r="F19" s="3">
        <f t="shared" si="1"/>
        <v>1845</v>
      </c>
      <c r="G19" s="3">
        <f t="shared" si="2"/>
        <v>22.5</v>
      </c>
      <c r="H19" s="3">
        <f t="shared" si="3"/>
        <v>1867.5</v>
      </c>
    </row>
    <row r="20" spans="1:8" x14ac:dyDescent="0.3">
      <c r="A20" t="s">
        <v>39</v>
      </c>
      <c r="B20" t="s">
        <v>32</v>
      </c>
      <c r="C20" s="3">
        <v>30</v>
      </c>
      <c r="D20">
        <v>39</v>
      </c>
      <c r="E20">
        <f t="shared" si="0"/>
        <v>0</v>
      </c>
      <c r="F20" s="3">
        <f t="shared" si="1"/>
        <v>1170</v>
      </c>
      <c r="G20" s="3">
        <f t="shared" si="2"/>
        <v>0</v>
      </c>
      <c r="H20" s="3">
        <f t="shared" si="3"/>
        <v>1170</v>
      </c>
    </row>
    <row r="22" spans="1:8" x14ac:dyDescent="0.3">
      <c r="A22" t="s">
        <v>40</v>
      </c>
      <c r="B22" s="3"/>
      <c r="C22" s="3">
        <f>MAX(C4:C20)</f>
        <v>45</v>
      </c>
      <c r="D22" s="2">
        <f>MAX(D4:D20)</f>
        <v>55</v>
      </c>
      <c r="E22" s="2"/>
      <c r="F22" s="3">
        <f>MAX(F4:F20)</f>
        <v>1845</v>
      </c>
      <c r="G22" s="3">
        <f>MAX(G4:G20)</f>
        <v>164.25</v>
      </c>
      <c r="H22" s="3">
        <f>MAX(H4:H20)</f>
        <v>1867.5</v>
      </c>
    </row>
    <row r="23" spans="1:8" x14ac:dyDescent="0.3">
      <c r="A23" t="s">
        <v>41</v>
      </c>
      <c r="B23" s="3"/>
      <c r="C23" s="3">
        <f>MIN(C4:C20)</f>
        <v>8.44</v>
      </c>
      <c r="D23" s="2">
        <f>MIN(D4:D20)</f>
        <v>29</v>
      </c>
      <c r="E23" s="2"/>
      <c r="F23" s="3">
        <f>MIN(F4:F20)</f>
        <v>337.59999999999997</v>
      </c>
      <c r="G23" s="3">
        <f>MIN(G4:G20)</f>
        <v>0</v>
      </c>
      <c r="H23" s="3">
        <f>MIN(H4:H20)</f>
        <v>337.59999999999997</v>
      </c>
    </row>
    <row r="24" spans="1:8" x14ac:dyDescent="0.3">
      <c r="A24" t="s">
        <v>42</v>
      </c>
      <c r="B24" s="3"/>
      <c r="C24" s="3">
        <f>AVERAGE(C4:C20)</f>
        <v>22.490588235294116</v>
      </c>
      <c r="D24" s="2">
        <f>AVERAGE(D4:D20)</f>
        <v>40.882352941176471</v>
      </c>
      <c r="E24" s="2"/>
      <c r="F24" s="3">
        <f>AVERAGE(F4:F20)</f>
        <v>915.4764705882352</v>
      </c>
      <c r="G24" s="3">
        <f>AVERAGE(G4:G20)</f>
        <v>21.841176470588234</v>
      </c>
      <c r="H24" s="3">
        <f>AVERAGE(H4:H20)</f>
        <v>937.31764705882347</v>
      </c>
    </row>
    <row r="25" spans="1:8" x14ac:dyDescent="0.3">
      <c r="A25" t="s">
        <v>43</v>
      </c>
      <c r="D25">
        <f>SUM(D4:D20)</f>
        <v>695</v>
      </c>
      <c r="F25" s="3">
        <f>SUM(F4:F20)</f>
        <v>15563.099999999999</v>
      </c>
      <c r="G25" s="3">
        <f>SUM(G4:G20)</f>
        <v>371.29999999999995</v>
      </c>
      <c r="H25" s="3">
        <f>SUM(H4:H20)</f>
        <v>15934.4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8967-EF23-493A-A8BC-DCAAAB2F43D2}">
  <sheetPr>
    <pageSetUpPr fitToPage="1"/>
  </sheetPr>
  <dimension ref="A1:AD25"/>
  <sheetViews>
    <sheetView tabSelected="1" topLeftCell="O2" workbookViewId="0">
      <selection activeCell="AD28" sqref="A1:XFD1048576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2.5546875" bestFit="1" customWidth="1"/>
    <col min="4" max="4" width="12.77734375" bestFit="1" customWidth="1"/>
    <col min="5" max="8" width="12.77734375" customWidth="1"/>
    <col min="9" max="9" width="13.6640625" bestFit="1" customWidth="1"/>
    <col min="10" max="13" width="13.6640625" customWidth="1"/>
    <col min="14" max="14" width="11.109375" bestFit="1" customWidth="1"/>
    <col min="15" max="18" width="11.109375" customWidth="1"/>
    <col min="19" max="19" width="13.77734375" bestFit="1" customWidth="1"/>
    <col min="20" max="23" width="13.77734375" customWidth="1"/>
    <col min="24" max="24" width="13.88671875" bestFit="1" customWidth="1"/>
    <col min="25" max="28" width="10.109375" bestFit="1" customWidth="1"/>
    <col min="30" max="30" width="11.109375" bestFit="1" customWidth="1"/>
  </cols>
  <sheetData>
    <row r="1" spans="1:30" x14ac:dyDescent="0.3">
      <c r="A1" t="s">
        <v>0</v>
      </c>
    </row>
    <row r="2" spans="1:30" x14ac:dyDescent="0.3">
      <c r="D2" t="s">
        <v>4</v>
      </c>
      <c r="I2" t="s">
        <v>44</v>
      </c>
      <c r="N2" t="s">
        <v>5</v>
      </c>
      <c r="S2" t="s">
        <v>45</v>
      </c>
      <c r="X2" t="s">
        <v>46</v>
      </c>
      <c r="AD2" t="s">
        <v>47</v>
      </c>
    </row>
    <row r="3" spans="1:30" x14ac:dyDescent="0.3">
      <c r="A3" t="s">
        <v>1</v>
      </c>
      <c r="B3" t="s">
        <v>2</v>
      </c>
      <c r="C3" t="s">
        <v>3</v>
      </c>
      <c r="D3" s="4">
        <v>45658</v>
      </c>
      <c r="E3" s="4">
        <f>D3+7</f>
        <v>45665</v>
      </c>
      <c r="F3" s="4">
        <f t="shared" ref="F3:H3" si="0">E3+7</f>
        <v>45672</v>
      </c>
      <c r="G3" s="4">
        <f t="shared" si="0"/>
        <v>45679</v>
      </c>
      <c r="H3" s="4">
        <f t="shared" si="0"/>
        <v>45686</v>
      </c>
      <c r="I3" s="6">
        <v>45658</v>
      </c>
      <c r="J3" s="6">
        <f>I3+7</f>
        <v>45665</v>
      </c>
      <c r="K3" s="6">
        <f t="shared" ref="K3:M3" si="1">J3+7</f>
        <v>45672</v>
      </c>
      <c r="L3" s="6">
        <f t="shared" si="1"/>
        <v>45679</v>
      </c>
      <c r="M3" s="6">
        <f t="shared" si="1"/>
        <v>45686</v>
      </c>
      <c r="N3" s="8">
        <v>45658</v>
      </c>
      <c r="O3" s="8">
        <f>N3+7</f>
        <v>45665</v>
      </c>
      <c r="P3" s="8">
        <f t="shared" ref="P3" si="2">O3+7</f>
        <v>45672</v>
      </c>
      <c r="Q3" s="8">
        <f>P3+7</f>
        <v>45679</v>
      </c>
      <c r="R3" s="8">
        <f>Q3+7</f>
        <v>45686</v>
      </c>
      <c r="S3" s="10">
        <v>45658</v>
      </c>
      <c r="T3" s="10">
        <f>S3+7</f>
        <v>45665</v>
      </c>
      <c r="U3" s="10">
        <f t="shared" ref="U3:W3" si="3">T3+7</f>
        <v>45672</v>
      </c>
      <c r="V3" s="10">
        <f t="shared" si="3"/>
        <v>45679</v>
      </c>
      <c r="W3" s="10">
        <f t="shared" si="3"/>
        <v>45686</v>
      </c>
      <c r="X3" s="12">
        <v>45658</v>
      </c>
      <c r="Y3" s="13">
        <f>X3+7</f>
        <v>45665</v>
      </c>
      <c r="Z3" s="13">
        <f t="shared" ref="Z3:AB3" si="4">Y3+7</f>
        <v>45672</v>
      </c>
      <c r="AA3" s="13">
        <f t="shared" si="4"/>
        <v>45679</v>
      </c>
      <c r="AB3" s="13">
        <f t="shared" si="4"/>
        <v>45686</v>
      </c>
    </row>
    <row r="4" spans="1:30" x14ac:dyDescent="0.3">
      <c r="A4" t="s">
        <v>6</v>
      </c>
      <c r="B4" t="s">
        <v>7</v>
      </c>
      <c r="C4" s="3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7">
        <f>IF(D4&gt;40,D4-40,0)</f>
        <v>1</v>
      </c>
      <c r="J4" s="7">
        <f>IF(E4&gt;40,E4-40,0)</f>
        <v>2</v>
      </c>
      <c r="K4" s="7">
        <f>IF(F4&gt;40,F4-40,0)</f>
        <v>0</v>
      </c>
      <c r="L4" s="7">
        <f>IF(G4&gt;40,G4-40,0)</f>
        <v>0</v>
      </c>
      <c r="M4" s="7">
        <f>IF(H4&gt;40,H4-40,0)</f>
        <v>6</v>
      </c>
      <c r="N4" s="9">
        <f>$C4*D4</f>
        <v>651.9</v>
      </c>
      <c r="O4" s="9">
        <f>$C4*E4</f>
        <v>667.80000000000007</v>
      </c>
      <c r="P4" s="9">
        <f>$C4*F4</f>
        <v>620.1</v>
      </c>
      <c r="Q4" s="9">
        <f>$C4*G4</f>
        <v>477</v>
      </c>
      <c r="R4" s="9">
        <f>$C4*H4</f>
        <v>731.4</v>
      </c>
      <c r="S4" s="11">
        <f>0.5*$C4*I4</f>
        <v>7.95</v>
      </c>
      <c r="T4" s="11">
        <f t="shared" ref="T4:T20" si="5">0.5*$C4*J4</f>
        <v>15.9</v>
      </c>
      <c r="U4" s="11">
        <f t="shared" ref="U4:U20" si="6">0.5*$C4*K4</f>
        <v>0</v>
      </c>
      <c r="V4" s="11">
        <f t="shared" ref="V4:V20" si="7">0.5*$C4*L4</f>
        <v>0</v>
      </c>
      <c r="W4" s="11">
        <f t="shared" ref="W4:W20" si="8">0.5*$C4*M4</f>
        <v>47.7</v>
      </c>
      <c r="X4" s="14">
        <f>N4+S4</f>
        <v>659.85</v>
      </c>
      <c r="Y4" s="14">
        <f t="shared" ref="Y4:AC19" si="9">O4+T4</f>
        <v>683.7</v>
      </c>
      <c r="Z4" s="14">
        <f t="shared" si="9"/>
        <v>620.1</v>
      </c>
      <c r="AA4" s="14">
        <f t="shared" si="9"/>
        <v>477</v>
      </c>
      <c r="AB4" s="14">
        <f t="shared" si="9"/>
        <v>779.1</v>
      </c>
      <c r="AC4" s="3"/>
      <c r="AD4" s="3">
        <f>SUM(X4:AB4)</f>
        <v>3219.75</v>
      </c>
    </row>
    <row r="5" spans="1:30" x14ac:dyDescent="0.3">
      <c r="A5" t="s">
        <v>8</v>
      </c>
      <c r="B5" t="s">
        <v>9</v>
      </c>
      <c r="C5" s="3">
        <v>16.899999999999999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7">
        <f>IF(D5&gt;40,D5-40,0)</f>
        <v>2</v>
      </c>
      <c r="J5" s="7">
        <f>IF(E5&gt;40,E5-40,0)</f>
        <v>1</v>
      </c>
      <c r="K5" s="7">
        <f>IF(F5&gt;40,F5-40,0)</f>
        <v>0</v>
      </c>
      <c r="L5" s="7">
        <f>IF(G5&gt;40,G5-40,0)</f>
        <v>0</v>
      </c>
      <c r="M5" s="7">
        <f>IF(H5&gt;40,H5-40,0)</f>
        <v>4</v>
      </c>
      <c r="N5" s="9">
        <f t="shared" ref="N5:N20" si="10">$C5*D5</f>
        <v>709.8</v>
      </c>
      <c r="O5" s="9">
        <f t="shared" ref="O5:R20" si="11">$C5*E5</f>
        <v>692.9</v>
      </c>
      <c r="P5" s="9">
        <f t="shared" si="11"/>
        <v>676</v>
      </c>
      <c r="Q5" s="9">
        <f t="shared" si="11"/>
        <v>642.19999999999993</v>
      </c>
      <c r="R5" s="9">
        <f t="shared" si="11"/>
        <v>743.59999999999991</v>
      </c>
      <c r="S5" s="11">
        <f t="shared" ref="S5:S20" si="12">0.5*$C5*I5</f>
        <v>16.899999999999999</v>
      </c>
      <c r="T5" s="11">
        <f t="shared" si="5"/>
        <v>8.4499999999999993</v>
      </c>
      <c r="U5" s="11">
        <f t="shared" si="6"/>
        <v>0</v>
      </c>
      <c r="V5" s="11">
        <f t="shared" si="7"/>
        <v>0</v>
      </c>
      <c r="W5" s="11">
        <f t="shared" si="8"/>
        <v>33.799999999999997</v>
      </c>
      <c r="X5" s="14">
        <f t="shared" ref="X5:X20" si="13">N5+S5</f>
        <v>726.69999999999993</v>
      </c>
      <c r="Y5" s="14">
        <f t="shared" si="9"/>
        <v>701.35</v>
      </c>
      <c r="Z5" s="14">
        <f t="shared" si="9"/>
        <v>676</v>
      </c>
      <c r="AA5" s="14">
        <f t="shared" si="9"/>
        <v>642.19999999999993</v>
      </c>
      <c r="AB5" s="14">
        <f t="shared" si="9"/>
        <v>777.39999999999986</v>
      </c>
      <c r="AC5" s="3"/>
      <c r="AD5" s="3">
        <f t="shared" ref="AD5:AD20" si="14">SUM(X5:AB5)</f>
        <v>3523.6499999999996</v>
      </c>
    </row>
    <row r="6" spans="1:30" x14ac:dyDescent="0.3">
      <c r="A6" t="s">
        <v>10</v>
      </c>
      <c r="B6" t="s">
        <v>11</v>
      </c>
      <c r="C6" s="3">
        <v>17.899999999999999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7">
        <f>IF(D6&gt;40,D6-40,0)</f>
        <v>9</v>
      </c>
      <c r="J6" s="7">
        <f>IF(E6&gt;40,E6-40,0)</f>
        <v>0</v>
      </c>
      <c r="K6" s="7">
        <f>IF(F6&gt;40,F6-40,0)</f>
        <v>0</v>
      </c>
      <c r="L6" s="7">
        <f>IF(G6&gt;40,G6-40,0)</f>
        <v>0</v>
      </c>
      <c r="M6" s="7">
        <f>IF(H6&gt;40,H6-40,0)</f>
        <v>0</v>
      </c>
      <c r="N6" s="9">
        <f t="shared" si="10"/>
        <v>877.09999999999991</v>
      </c>
      <c r="O6" s="9">
        <f t="shared" si="11"/>
        <v>716</v>
      </c>
      <c r="P6" s="9">
        <f t="shared" si="11"/>
        <v>590.69999999999993</v>
      </c>
      <c r="Q6" s="9">
        <f t="shared" si="11"/>
        <v>358</v>
      </c>
      <c r="R6" s="9">
        <f t="shared" si="11"/>
        <v>322.2</v>
      </c>
      <c r="S6" s="11">
        <f t="shared" si="12"/>
        <v>80.55</v>
      </c>
      <c r="T6" s="11">
        <f t="shared" si="5"/>
        <v>0</v>
      </c>
      <c r="U6" s="11">
        <f t="shared" si="6"/>
        <v>0</v>
      </c>
      <c r="V6" s="11">
        <f t="shared" si="7"/>
        <v>0</v>
      </c>
      <c r="W6" s="11">
        <f t="shared" si="8"/>
        <v>0</v>
      </c>
      <c r="X6" s="14">
        <f t="shared" si="13"/>
        <v>957.64999999999986</v>
      </c>
      <c r="Y6" s="14">
        <f t="shared" si="9"/>
        <v>716</v>
      </c>
      <c r="Z6" s="14">
        <f t="shared" si="9"/>
        <v>590.69999999999993</v>
      </c>
      <c r="AA6" s="14">
        <f t="shared" si="9"/>
        <v>358</v>
      </c>
      <c r="AB6" s="14">
        <f t="shared" si="9"/>
        <v>322.2</v>
      </c>
      <c r="AC6" s="3"/>
      <c r="AD6" s="3">
        <f t="shared" si="14"/>
        <v>2944.5499999999997</v>
      </c>
    </row>
    <row r="7" spans="1:30" x14ac:dyDescent="0.3">
      <c r="A7" t="s">
        <v>12</v>
      </c>
      <c r="B7" t="s">
        <v>13</v>
      </c>
      <c r="C7" s="3">
        <v>18.899999999999999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7">
        <f>IF(D7&gt;40,D7-40,0)</f>
        <v>1</v>
      </c>
      <c r="J7" s="7">
        <f>IF(E7&gt;40,E7-40,0)</f>
        <v>10</v>
      </c>
      <c r="K7" s="7">
        <f>IF(F7&gt;40,F7-40,0)</f>
        <v>7</v>
      </c>
      <c r="L7" s="7">
        <f>IF(G7&gt;40,G7-40,0)</f>
        <v>0</v>
      </c>
      <c r="M7" s="7">
        <f>IF(H7&gt;40,H7-40,0)</f>
        <v>0</v>
      </c>
      <c r="N7" s="9">
        <f t="shared" si="10"/>
        <v>774.9</v>
      </c>
      <c r="O7" s="9">
        <f t="shared" si="11"/>
        <v>944.99999999999989</v>
      </c>
      <c r="P7" s="9">
        <f t="shared" si="11"/>
        <v>888.3</v>
      </c>
      <c r="Q7" s="9">
        <f t="shared" si="11"/>
        <v>567</v>
      </c>
      <c r="R7" s="9">
        <f t="shared" si="11"/>
        <v>737.09999999999991</v>
      </c>
      <c r="S7" s="11">
        <f t="shared" si="12"/>
        <v>9.4499999999999993</v>
      </c>
      <c r="T7" s="11">
        <f t="shared" si="5"/>
        <v>94.5</v>
      </c>
      <c r="U7" s="11">
        <f t="shared" si="6"/>
        <v>66.149999999999991</v>
      </c>
      <c r="V7" s="11">
        <f t="shared" si="7"/>
        <v>0</v>
      </c>
      <c r="W7" s="11">
        <f t="shared" si="8"/>
        <v>0</v>
      </c>
      <c r="X7" s="14">
        <f t="shared" si="13"/>
        <v>784.35</v>
      </c>
      <c r="Y7" s="14">
        <f t="shared" si="9"/>
        <v>1039.5</v>
      </c>
      <c r="Z7" s="14">
        <f t="shared" si="9"/>
        <v>954.44999999999993</v>
      </c>
      <c r="AA7" s="14">
        <f t="shared" si="9"/>
        <v>567</v>
      </c>
      <c r="AB7" s="14">
        <f t="shared" si="9"/>
        <v>737.09999999999991</v>
      </c>
      <c r="AC7" s="3"/>
      <c r="AD7" s="3">
        <f t="shared" si="14"/>
        <v>4082.3999999999996</v>
      </c>
    </row>
    <row r="8" spans="1:30" x14ac:dyDescent="0.3">
      <c r="A8" t="s">
        <v>14</v>
      </c>
      <c r="B8" t="s">
        <v>15</v>
      </c>
      <c r="C8" s="3">
        <v>19.899999999999999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7">
        <f>IF(D8&gt;40,D8-40,0)</f>
        <v>0</v>
      </c>
      <c r="J8" s="7">
        <f>IF(E8&gt;40,E8-40,0)</f>
        <v>12</v>
      </c>
      <c r="K8" s="7">
        <f>IF(F8&gt;40,F8-40,0)</f>
        <v>2</v>
      </c>
      <c r="L8" s="7">
        <f>IF(G8&gt;40,G8-40,0)</f>
        <v>0</v>
      </c>
      <c r="M8" s="7">
        <f>IF(H8&gt;40,H8-40,0)</f>
        <v>0</v>
      </c>
      <c r="N8" s="9">
        <f t="shared" si="10"/>
        <v>776.09999999999991</v>
      </c>
      <c r="O8" s="9">
        <f t="shared" si="11"/>
        <v>1034.8</v>
      </c>
      <c r="P8" s="9">
        <f t="shared" si="11"/>
        <v>835.8</v>
      </c>
      <c r="Q8" s="9">
        <f t="shared" si="11"/>
        <v>796</v>
      </c>
      <c r="R8" s="9">
        <f t="shared" si="11"/>
        <v>796</v>
      </c>
      <c r="S8" s="11">
        <f t="shared" si="12"/>
        <v>0</v>
      </c>
      <c r="T8" s="11">
        <f t="shared" si="5"/>
        <v>119.39999999999999</v>
      </c>
      <c r="U8" s="11">
        <f t="shared" si="6"/>
        <v>19.899999999999999</v>
      </c>
      <c r="V8" s="11">
        <f t="shared" si="7"/>
        <v>0</v>
      </c>
      <c r="W8" s="11">
        <f t="shared" si="8"/>
        <v>0</v>
      </c>
      <c r="X8" s="14">
        <f t="shared" si="13"/>
        <v>776.09999999999991</v>
      </c>
      <c r="Y8" s="14">
        <f t="shared" si="9"/>
        <v>1154.2</v>
      </c>
      <c r="Z8" s="14">
        <f t="shared" si="9"/>
        <v>855.69999999999993</v>
      </c>
      <c r="AA8" s="14">
        <f t="shared" si="9"/>
        <v>796</v>
      </c>
      <c r="AB8" s="14">
        <f>R8+W8</f>
        <v>796</v>
      </c>
      <c r="AC8" s="3"/>
      <c r="AD8" s="3">
        <f t="shared" si="14"/>
        <v>4378</v>
      </c>
    </row>
    <row r="9" spans="1:30" x14ac:dyDescent="0.3">
      <c r="A9" t="s">
        <v>16</v>
      </c>
      <c r="B9" t="s">
        <v>17</v>
      </c>
      <c r="C9" s="3">
        <v>20.9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7">
        <f>IF(D9&gt;40,D9-40,0)</f>
        <v>4</v>
      </c>
      <c r="J9" s="7">
        <f>IF(E9&gt;40,E9-40,0)</f>
        <v>11</v>
      </c>
      <c r="K9" s="7">
        <f>IF(F9&gt;40,F9-40,0)</f>
        <v>2</v>
      </c>
      <c r="L9" s="7">
        <f>IF(G9&gt;40,G9-40,0)</f>
        <v>0</v>
      </c>
      <c r="M9" s="7">
        <f>IF(H9&gt;40,H9-40,0)</f>
        <v>0</v>
      </c>
      <c r="N9" s="9">
        <f t="shared" si="10"/>
        <v>919.59999999999991</v>
      </c>
      <c r="O9" s="9">
        <f t="shared" si="11"/>
        <v>1065.8999999999999</v>
      </c>
      <c r="P9" s="9">
        <f t="shared" si="11"/>
        <v>877.8</v>
      </c>
      <c r="Q9" s="9">
        <f t="shared" si="11"/>
        <v>836</v>
      </c>
      <c r="R9" s="9">
        <f t="shared" si="11"/>
        <v>418</v>
      </c>
      <c r="S9" s="11">
        <f t="shared" si="12"/>
        <v>41.8</v>
      </c>
      <c r="T9" s="11">
        <f t="shared" si="5"/>
        <v>114.94999999999999</v>
      </c>
      <c r="U9" s="11">
        <f t="shared" si="6"/>
        <v>20.9</v>
      </c>
      <c r="V9" s="11">
        <f t="shared" si="7"/>
        <v>0</v>
      </c>
      <c r="W9" s="11">
        <f t="shared" si="8"/>
        <v>0</v>
      </c>
      <c r="X9" s="14">
        <f t="shared" si="13"/>
        <v>961.39999999999986</v>
      </c>
      <c r="Y9" s="14">
        <f t="shared" si="9"/>
        <v>1180.8499999999999</v>
      </c>
      <c r="Z9" s="14">
        <f t="shared" si="9"/>
        <v>898.69999999999993</v>
      </c>
      <c r="AA9" s="14">
        <f t="shared" si="9"/>
        <v>836</v>
      </c>
      <c r="AB9" s="14">
        <f t="shared" si="9"/>
        <v>418</v>
      </c>
      <c r="AC9" s="3"/>
      <c r="AD9" s="3">
        <f t="shared" si="14"/>
        <v>4294.95</v>
      </c>
    </row>
    <row r="10" spans="1:30" x14ac:dyDescent="0.3">
      <c r="A10" t="s">
        <v>18</v>
      </c>
      <c r="B10" t="s">
        <v>19</v>
      </c>
      <c r="C10" s="3">
        <v>21.9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7">
        <f>IF(D10&gt;40,D10-40,0)</f>
        <v>15</v>
      </c>
      <c r="J10" s="7">
        <f>IF(E10&gt;40,E10-40,0)</f>
        <v>20</v>
      </c>
      <c r="K10" s="7">
        <f>IF(F10&gt;40,F10-40,0)</f>
        <v>5</v>
      </c>
      <c r="L10" s="7">
        <f>IF(G10&gt;40,G10-40,0)</f>
        <v>0</v>
      </c>
      <c r="M10" s="7">
        <f>IF(H10&gt;40,H10-40,0)</f>
        <v>9</v>
      </c>
      <c r="N10" s="9">
        <f t="shared" si="10"/>
        <v>1204.5</v>
      </c>
      <c r="O10" s="9">
        <f t="shared" si="11"/>
        <v>1314</v>
      </c>
      <c r="P10" s="9">
        <f t="shared" si="11"/>
        <v>985.49999999999989</v>
      </c>
      <c r="Q10" s="9">
        <f t="shared" si="11"/>
        <v>876</v>
      </c>
      <c r="R10" s="9">
        <f t="shared" si="11"/>
        <v>1073.0999999999999</v>
      </c>
      <c r="S10" s="11">
        <f t="shared" si="12"/>
        <v>164.25</v>
      </c>
      <c r="T10" s="11">
        <f t="shared" si="5"/>
        <v>219</v>
      </c>
      <c r="U10" s="11">
        <f t="shared" si="6"/>
        <v>54.75</v>
      </c>
      <c r="V10" s="11">
        <f t="shared" si="7"/>
        <v>0</v>
      </c>
      <c r="W10" s="11">
        <f t="shared" si="8"/>
        <v>98.55</v>
      </c>
      <c r="X10" s="14">
        <f t="shared" si="13"/>
        <v>1368.75</v>
      </c>
      <c r="Y10" s="14">
        <f t="shared" si="9"/>
        <v>1533</v>
      </c>
      <c r="Z10" s="14">
        <f t="shared" si="9"/>
        <v>1040.25</v>
      </c>
      <c r="AA10" s="14">
        <f t="shared" si="9"/>
        <v>876</v>
      </c>
      <c r="AB10" s="14">
        <f t="shared" si="9"/>
        <v>1171.6499999999999</v>
      </c>
      <c r="AC10" s="3"/>
      <c r="AD10" s="3">
        <f t="shared" si="14"/>
        <v>5989.65</v>
      </c>
    </row>
    <row r="11" spans="1:30" x14ac:dyDescent="0.3">
      <c r="A11" t="s">
        <v>20</v>
      </c>
      <c r="B11" t="s">
        <v>21</v>
      </c>
      <c r="C11" s="3">
        <v>22.9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7">
        <f>IF(D11&gt;40,D11-40,0)</f>
        <v>0</v>
      </c>
      <c r="J11" s="7">
        <f>IF(E11&gt;40,E11-40,0)</f>
        <v>0</v>
      </c>
      <c r="K11" s="7">
        <f>IF(F11&gt;40,F11-40,0)</f>
        <v>14</v>
      </c>
      <c r="L11" s="7">
        <f>IF(G11&gt;40,G11-40,0)</f>
        <v>0</v>
      </c>
      <c r="M11" s="7">
        <f>IF(H11&gt;40,H11-40,0)</f>
        <v>0</v>
      </c>
      <c r="N11" s="9">
        <f t="shared" si="10"/>
        <v>755.69999999999993</v>
      </c>
      <c r="O11" s="9">
        <f t="shared" si="11"/>
        <v>503.79999999999995</v>
      </c>
      <c r="P11" s="9">
        <f t="shared" si="11"/>
        <v>1236.5999999999999</v>
      </c>
      <c r="Q11" s="9">
        <f t="shared" si="11"/>
        <v>916</v>
      </c>
      <c r="R11" s="9">
        <f t="shared" si="11"/>
        <v>458</v>
      </c>
      <c r="S11" s="11">
        <f t="shared" si="12"/>
        <v>0</v>
      </c>
      <c r="T11" s="11">
        <f t="shared" si="5"/>
        <v>0</v>
      </c>
      <c r="U11" s="11">
        <f t="shared" si="6"/>
        <v>160.29999999999998</v>
      </c>
      <c r="V11" s="11">
        <f t="shared" si="7"/>
        <v>0</v>
      </c>
      <c r="W11" s="11">
        <f t="shared" si="8"/>
        <v>0</v>
      </c>
      <c r="X11" s="14">
        <f t="shared" si="13"/>
        <v>755.69999999999993</v>
      </c>
      <c r="Y11" s="14">
        <f t="shared" si="9"/>
        <v>503.79999999999995</v>
      </c>
      <c r="Z11" s="14">
        <f t="shared" si="9"/>
        <v>1396.8999999999999</v>
      </c>
      <c r="AA11" s="14">
        <f t="shared" si="9"/>
        <v>916</v>
      </c>
      <c r="AB11" s="14">
        <f t="shared" si="9"/>
        <v>458</v>
      </c>
      <c r="AC11" s="3"/>
      <c r="AD11" s="3">
        <f t="shared" si="14"/>
        <v>4030.3999999999996</v>
      </c>
    </row>
    <row r="12" spans="1:30" x14ac:dyDescent="0.3">
      <c r="A12" t="s">
        <v>22</v>
      </c>
      <c r="B12" t="s">
        <v>23</v>
      </c>
      <c r="C12" s="3">
        <v>23.9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7">
        <f>IF(D12&gt;40,D12-40,0)</f>
        <v>0</v>
      </c>
      <c r="J12" s="7">
        <f>IF(E12&gt;40,E12-40,0)</f>
        <v>0</v>
      </c>
      <c r="K12" s="7">
        <f>IF(F12&gt;40,F12-40,0)</f>
        <v>2</v>
      </c>
      <c r="L12" s="7">
        <f>IF(G12&gt;40,G12-40,0)</f>
        <v>0</v>
      </c>
      <c r="M12" s="7">
        <f>IF(H12&gt;40,H12-40,0)</f>
        <v>0</v>
      </c>
      <c r="N12" s="9">
        <f t="shared" si="10"/>
        <v>693.09999999999991</v>
      </c>
      <c r="O12" s="9">
        <f t="shared" si="11"/>
        <v>956</v>
      </c>
      <c r="P12" s="9">
        <f t="shared" si="11"/>
        <v>1003.8</v>
      </c>
      <c r="Q12" s="9">
        <f t="shared" si="11"/>
        <v>956</v>
      </c>
      <c r="R12" s="9">
        <f t="shared" si="11"/>
        <v>956</v>
      </c>
      <c r="S12" s="11">
        <f t="shared" si="12"/>
        <v>0</v>
      </c>
      <c r="T12" s="11">
        <f t="shared" si="5"/>
        <v>0</v>
      </c>
      <c r="U12" s="11">
        <f t="shared" si="6"/>
        <v>23.9</v>
      </c>
      <c r="V12" s="11">
        <f t="shared" si="7"/>
        <v>0</v>
      </c>
      <c r="W12" s="11">
        <f t="shared" si="8"/>
        <v>0</v>
      </c>
      <c r="X12" s="14">
        <f t="shared" si="13"/>
        <v>693.09999999999991</v>
      </c>
      <c r="Y12" s="14">
        <f t="shared" si="9"/>
        <v>956</v>
      </c>
      <c r="Z12" s="14">
        <f t="shared" si="9"/>
        <v>1027.7</v>
      </c>
      <c r="AA12" s="14">
        <f t="shared" si="9"/>
        <v>956</v>
      </c>
      <c r="AB12" s="14">
        <f t="shared" si="9"/>
        <v>956</v>
      </c>
      <c r="AC12" s="3"/>
      <c r="AD12" s="3">
        <f t="shared" si="14"/>
        <v>4588.8</v>
      </c>
    </row>
    <row r="13" spans="1:30" x14ac:dyDescent="0.3">
      <c r="A13" t="s">
        <v>24</v>
      </c>
      <c r="B13" t="s">
        <v>25</v>
      </c>
      <c r="C13" s="3">
        <v>24.9</v>
      </c>
      <c r="D13" s="5">
        <v>40</v>
      </c>
      <c r="E13" s="5">
        <v>40</v>
      </c>
      <c r="F13" s="5">
        <v>42</v>
      </c>
      <c r="G13" s="5">
        <v>40</v>
      </c>
      <c r="H13" s="5">
        <v>40</v>
      </c>
      <c r="I13" s="7">
        <f>IF(D13&gt;40,D13-40,0)</f>
        <v>0</v>
      </c>
      <c r="J13" s="7">
        <f>IF(E13&gt;40,E13-40,0)</f>
        <v>0</v>
      </c>
      <c r="K13" s="7">
        <f>IF(F13&gt;40,F13-40,0)</f>
        <v>2</v>
      </c>
      <c r="L13" s="7">
        <f>IF(G13&gt;40,G13-40,0)</f>
        <v>0</v>
      </c>
      <c r="M13" s="7">
        <f>IF(H13&gt;40,H13-40,0)</f>
        <v>0</v>
      </c>
      <c r="N13" s="9">
        <f t="shared" si="10"/>
        <v>996</v>
      </c>
      <c r="O13" s="9">
        <f t="shared" si="11"/>
        <v>996</v>
      </c>
      <c r="P13" s="9">
        <f t="shared" si="11"/>
        <v>1045.8</v>
      </c>
      <c r="Q13" s="9">
        <f t="shared" si="11"/>
        <v>996</v>
      </c>
      <c r="R13" s="9">
        <f t="shared" si="11"/>
        <v>996</v>
      </c>
      <c r="S13" s="11">
        <f t="shared" si="12"/>
        <v>0</v>
      </c>
      <c r="T13" s="11">
        <f t="shared" si="5"/>
        <v>0</v>
      </c>
      <c r="U13" s="11">
        <f t="shared" si="6"/>
        <v>24.9</v>
      </c>
      <c r="V13" s="11">
        <f t="shared" si="7"/>
        <v>0</v>
      </c>
      <c r="W13" s="11">
        <f t="shared" si="8"/>
        <v>0</v>
      </c>
      <c r="X13" s="14">
        <f t="shared" si="13"/>
        <v>996</v>
      </c>
      <c r="Y13" s="14">
        <f t="shared" si="9"/>
        <v>996</v>
      </c>
      <c r="Z13" s="14">
        <f>P13+U13</f>
        <v>1070.7</v>
      </c>
      <c r="AA13" s="14">
        <f t="shared" si="9"/>
        <v>996</v>
      </c>
      <c r="AB13" s="14">
        <f t="shared" si="9"/>
        <v>996</v>
      </c>
      <c r="AC13" s="3"/>
      <c r="AD13" s="3">
        <f t="shared" si="14"/>
        <v>5054.7</v>
      </c>
    </row>
    <row r="14" spans="1:30" x14ac:dyDescent="0.3">
      <c r="A14" t="s">
        <v>33</v>
      </c>
      <c r="B14" t="s">
        <v>26</v>
      </c>
      <c r="C14" s="3">
        <v>25.9</v>
      </c>
      <c r="D14" s="5">
        <v>40</v>
      </c>
      <c r="E14" s="5">
        <v>40</v>
      </c>
      <c r="F14" s="5">
        <v>42</v>
      </c>
      <c r="G14" s="5">
        <v>39</v>
      </c>
      <c r="H14" s="5">
        <v>40</v>
      </c>
      <c r="I14" s="7">
        <f>IF(D14&gt;40,D14-40,0)</f>
        <v>0</v>
      </c>
      <c r="J14" s="7">
        <f>IF(E14&gt;40,E14-40,0)</f>
        <v>0</v>
      </c>
      <c r="K14" s="7">
        <f>IF(F14&gt;40,F14-40,0)</f>
        <v>2</v>
      </c>
      <c r="L14" s="7">
        <f>IF(G14&gt;40,G14-40,0)</f>
        <v>0</v>
      </c>
      <c r="M14" s="7">
        <f>IF(H14&gt;40,H14-40,0)</f>
        <v>0</v>
      </c>
      <c r="N14" s="9">
        <f t="shared" si="10"/>
        <v>1036</v>
      </c>
      <c r="O14" s="9">
        <f t="shared" si="11"/>
        <v>1036</v>
      </c>
      <c r="P14" s="9">
        <f t="shared" si="11"/>
        <v>1087.8</v>
      </c>
      <c r="Q14" s="9">
        <f t="shared" si="11"/>
        <v>1010.0999999999999</v>
      </c>
      <c r="R14" s="9">
        <f t="shared" si="11"/>
        <v>1036</v>
      </c>
      <c r="S14" s="11">
        <f t="shared" si="12"/>
        <v>0</v>
      </c>
      <c r="T14" s="11">
        <f t="shared" si="5"/>
        <v>0</v>
      </c>
      <c r="U14" s="11">
        <f t="shared" si="6"/>
        <v>25.9</v>
      </c>
      <c r="V14" s="11">
        <f t="shared" si="7"/>
        <v>0</v>
      </c>
      <c r="W14" s="11">
        <f t="shared" si="8"/>
        <v>0</v>
      </c>
      <c r="X14" s="14">
        <f t="shared" si="13"/>
        <v>1036</v>
      </c>
      <c r="Y14" s="14">
        <f t="shared" si="9"/>
        <v>1036</v>
      </c>
      <c r="Z14" s="14">
        <f t="shared" si="9"/>
        <v>1113.7</v>
      </c>
      <c r="AA14" s="14">
        <f t="shared" si="9"/>
        <v>1010.0999999999999</v>
      </c>
      <c r="AB14" s="14">
        <f t="shared" si="9"/>
        <v>1036</v>
      </c>
      <c r="AC14" s="3"/>
      <c r="AD14" s="3">
        <f t="shared" si="14"/>
        <v>5231.7999999999993</v>
      </c>
    </row>
    <row r="15" spans="1:30" x14ac:dyDescent="0.3">
      <c r="A15" t="s">
        <v>34</v>
      </c>
      <c r="B15" t="s">
        <v>27</v>
      </c>
      <c r="C15" s="3">
        <v>26.9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7">
        <f>IF(D15&gt;40,D15-40,0)</f>
        <v>0</v>
      </c>
      <c r="J15" s="7">
        <f>IF(E15&gt;40,E15-40,0)</f>
        <v>0</v>
      </c>
      <c r="K15" s="7">
        <f>IF(F15&gt;40,F15-40,0)</f>
        <v>1</v>
      </c>
      <c r="L15" s="7">
        <f>IF(G15&gt;40,G15-40,0)</f>
        <v>2</v>
      </c>
      <c r="M15" s="7">
        <f>IF(H15&gt;40,H15-40,0)</f>
        <v>0</v>
      </c>
      <c r="N15" s="9">
        <f t="shared" si="10"/>
        <v>1076</v>
      </c>
      <c r="O15" s="9">
        <f t="shared" si="11"/>
        <v>1076</v>
      </c>
      <c r="P15" s="9">
        <f t="shared" si="11"/>
        <v>1102.8999999999999</v>
      </c>
      <c r="Q15" s="9">
        <f t="shared" si="11"/>
        <v>1129.8</v>
      </c>
      <c r="R15" s="9">
        <f t="shared" si="11"/>
        <v>1076</v>
      </c>
      <c r="S15" s="11">
        <f t="shared" si="12"/>
        <v>0</v>
      </c>
      <c r="T15" s="11">
        <f t="shared" si="5"/>
        <v>0</v>
      </c>
      <c r="U15" s="11">
        <f t="shared" si="6"/>
        <v>13.45</v>
      </c>
      <c r="V15" s="11">
        <f t="shared" si="7"/>
        <v>26.9</v>
      </c>
      <c r="W15" s="11">
        <f t="shared" si="8"/>
        <v>0</v>
      </c>
      <c r="X15" s="14">
        <f t="shared" si="13"/>
        <v>1076</v>
      </c>
      <c r="Y15" s="14">
        <f t="shared" si="9"/>
        <v>1076</v>
      </c>
      <c r="Z15" s="14">
        <f t="shared" si="9"/>
        <v>1116.3499999999999</v>
      </c>
      <c r="AA15" s="14">
        <f t="shared" si="9"/>
        <v>1156.7</v>
      </c>
      <c r="AB15" s="14">
        <f t="shared" si="9"/>
        <v>1076</v>
      </c>
      <c r="AC15" s="3"/>
      <c r="AD15" s="3">
        <f t="shared" si="14"/>
        <v>5501.05</v>
      </c>
    </row>
    <row r="16" spans="1:30" x14ac:dyDescent="0.3">
      <c r="A16" t="s">
        <v>35</v>
      </c>
      <c r="B16" t="s">
        <v>28</v>
      </c>
      <c r="C16" s="3">
        <v>27.9</v>
      </c>
      <c r="D16" s="5">
        <v>42</v>
      </c>
      <c r="E16" s="5">
        <v>42</v>
      </c>
      <c r="F16" s="5">
        <v>39</v>
      </c>
      <c r="G16" s="5">
        <v>42</v>
      </c>
      <c r="H16" s="5">
        <v>40</v>
      </c>
      <c r="I16" s="7">
        <f>IF(D16&gt;40,D16-40,0)</f>
        <v>2</v>
      </c>
      <c r="J16" s="7">
        <f>IF(E16&gt;40,E16-40,0)</f>
        <v>2</v>
      </c>
      <c r="K16" s="7">
        <f>IF(F16&gt;40,F16-40,0)</f>
        <v>0</v>
      </c>
      <c r="L16" s="7">
        <f>IF(G16&gt;40,G16-40,0)</f>
        <v>2</v>
      </c>
      <c r="M16" s="7">
        <f>IF(H16&gt;40,H16-40,0)</f>
        <v>0</v>
      </c>
      <c r="N16" s="9">
        <f t="shared" si="10"/>
        <v>1171.8</v>
      </c>
      <c r="O16" s="9">
        <f t="shared" si="11"/>
        <v>1171.8</v>
      </c>
      <c r="P16" s="9">
        <f t="shared" si="11"/>
        <v>1088.0999999999999</v>
      </c>
      <c r="Q16" s="9">
        <f t="shared" si="11"/>
        <v>1171.8</v>
      </c>
      <c r="R16" s="9">
        <f t="shared" si="11"/>
        <v>1116</v>
      </c>
      <c r="S16" s="11">
        <f t="shared" si="12"/>
        <v>27.9</v>
      </c>
      <c r="T16" s="11">
        <f t="shared" si="5"/>
        <v>27.9</v>
      </c>
      <c r="U16" s="11">
        <f t="shared" si="6"/>
        <v>0</v>
      </c>
      <c r="V16" s="11">
        <f t="shared" si="7"/>
        <v>27.9</v>
      </c>
      <c r="W16" s="11">
        <f t="shared" si="8"/>
        <v>0</v>
      </c>
      <c r="X16" s="14">
        <f t="shared" si="13"/>
        <v>1199.7</v>
      </c>
      <c r="Y16" s="14">
        <f t="shared" si="9"/>
        <v>1199.7</v>
      </c>
      <c r="Z16" s="14">
        <f t="shared" si="9"/>
        <v>1088.0999999999999</v>
      </c>
      <c r="AA16" s="14">
        <f t="shared" si="9"/>
        <v>1199.7</v>
      </c>
      <c r="AB16" s="14">
        <f t="shared" si="9"/>
        <v>1116</v>
      </c>
      <c r="AC16" s="3"/>
      <c r="AD16" s="3">
        <f t="shared" si="14"/>
        <v>5803.2</v>
      </c>
    </row>
    <row r="17" spans="1:30" x14ac:dyDescent="0.3">
      <c r="A17" t="s">
        <v>36</v>
      </c>
      <c r="B17" t="s">
        <v>29</v>
      </c>
      <c r="C17" s="3">
        <v>8.44</v>
      </c>
      <c r="D17" s="5">
        <v>40</v>
      </c>
      <c r="E17" s="5">
        <v>43</v>
      </c>
      <c r="F17" s="5">
        <v>39</v>
      </c>
      <c r="G17" s="5">
        <v>41</v>
      </c>
      <c r="H17" s="5">
        <v>40</v>
      </c>
      <c r="I17" s="7">
        <f>IF(D17&gt;40,D17-40,0)</f>
        <v>0</v>
      </c>
      <c r="J17" s="7">
        <f>IF(E17&gt;40,E17-40,0)</f>
        <v>3</v>
      </c>
      <c r="K17" s="7">
        <f>IF(F17&gt;40,F17-40,0)</f>
        <v>0</v>
      </c>
      <c r="L17" s="7">
        <f>IF(G17&gt;40,G17-40,0)</f>
        <v>1</v>
      </c>
      <c r="M17" s="7">
        <f>IF(H17&gt;40,H17-40,0)</f>
        <v>0</v>
      </c>
      <c r="N17" s="9">
        <f t="shared" si="10"/>
        <v>337.59999999999997</v>
      </c>
      <c r="O17" s="9">
        <f t="shared" si="11"/>
        <v>362.91999999999996</v>
      </c>
      <c r="P17" s="9">
        <f t="shared" si="11"/>
        <v>329.15999999999997</v>
      </c>
      <c r="Q17" s="9">
        <f t="shared" si="11"/>
        <v>346.03999999999996</v>
      </c>
      <c r="R17" s="9">
        <f t="shared" si="11"/>
        <v>337.59999999999997</v>
      </c>
      <c r="S17" s="11">
        <f t="shared" si="12"/>
        <v>0</v>
      </c>
      <c r="T17" s="11">
        <f t="shared" si="5"/>
        <v>12.66</v>
      </c>
      <c r="U17" s="11">
        <f t="shared" si="6"/>
        <v>0</v>
      </c>
      <c r="V17" s="11">
        <f t="shared" si="7"/>
        <v>4.22</v>
      </c>
      <c r="W17" s="11">
        <f t="shared" si="8"/>
        <v>0</v>
      </c>
      <c r="X17" s="14">
        <f t="shared" si="13"/>
        <v>337.59999999999997</v>
      </c>
      <c r="Y17" s="14">
        <f t="shared" si="9"/>
        <v>375.58</v>
      </c>
      <c r="Z17" s="14">
        <f t="shared" si="9"/>
        <v>329.15999999999997</v>
      </c>
      <c r="AA17" s="14">
        <f t="shared" si="9"/>
        <v>350.26</v>
      </c>
      <c r="AB17" s="14">
        <f t="shared" si="9"/>
        <v>337.59999999999997</v>
      </c>
      <c r="AC17" s="3"/>
      <c r="AD17" s="3">
        <f t="shared" si="14"/>
        <v>1730.1999999999998</v>
      </c>
    </row>
    <row r="18" spans="1:30" x14ac:dyDescent="0.3">
      <c r="A18" t="s">
        <v>37</v>
      </c>
      <c r="B18" t="s">
        <v>30</v>
      </c>
      <c r="C18" s="3">
        <v>14.2</v>
      </c>
      <c r="D18" s="5">
        <v>40</v>
      </c>
      <c r="E18" s="5">
        <v>42</v>
      </c>
      <c r="F18" s="5">
        <v>39</v>
      </c>
      <c r="G18" s="5">
        <v>40</v>
      </c>
      <c r="H18" s="5">
        <v>40</v>
      </c>
      <c r="I18" s="7">
        <f>IF(D18&gt;40,D18-40,0)</f>
        <v>0</v>
      </c>
      <c r="J18" s="7">
        <f>IF(E18&gt;40,E18-40,0)</f>
        <v>2</v>
      </c>
      <c r="K18" s="7">
        <f>IF(F18&gt;40,F18-40,0)</f>
        <v>0</v>
      </c>
      <c r="L18" s="7">
        <f>IF(G18&gt;40,G18-40,0)</f>
        <v>0</v>
      </c>
      <c r="M18" s="7">
        <f>IF(H18&gt;40,H18-40,0)</f>
        <v>0</v>
      </c>
      <c r="N18" s="9">
        <f t="shared" si="10"/>
        <v>568</v>
      </c>
      <c r="O18" s="9">
        <f t="shared" si="11"/>
        <v>596.4</v>
      </c>
      <c r="P18" s="9">
        <f t="shared" si="11"/>
        <v>553.79999999999995</v>
      </c>
      <c r="Q18" s="9">
        <f t="shared" si="11"/>
        <v>568</v>
      </c>
      <c r="R18" s="9">
        <f t="shared" si="11"/>
        <v>568</v>
      </c>
      <c r="S18" s="11">
        <f t="shared" si="12"/>
        <v>0</v>
      </c>
      <c r="T18" s="11">
        <f t="shared" si="5"/>
        <v>14.2</v>
      </c>
      <c r="U18" s="11">
        <f t="shared" si="6"/>
        <v>0</v>
      </c>
      <c r="V18" s="11">
        <f t="shared" si="7"/>
        <v>0</v>
      </c>
      <c r="W18" s="11">
        <f t="shared" si="8"/>
        <v>0</v>
      </c>
      <c r="X18" s="14">
        <f t="shared" si="13"/>
        <v>568</v>
      </c>
      <c r="Y18" s="14">
        <f t="shared" si="9"/>
        <v>610.6</v>
      </c>
      <c r="Z18" s="14">
        <f t="shared" si="9"/>
        <v>553.79999999999995</v>
      </c>
      <c r="AA18" s="14">
        <f t="shared" si="9"/>
        <v>568</v>
      </c>
      <c r="AB18" s="14">
        <f t="shared" si="9"/>
        <v>568</v>
      </c>
      <c r="AC18" s="3"/>
      <c r="AD18" s="3">
        <f t="shared" si="14"/>
        <v>2868.3999999999996</v>
      </c>
    </row>
    <row r="19" spans="1:30" x14ac:dyDescent="0.3">
      <c r="A19" t="s">
        <v>38</v>
      </c>
      <c r="B19" t="s">
        <v>31</v>
      </c>
      <c r="C19" s="3">
        <v>45</v>
      </c>
      <c r="D19" s="5">
        <v>41</v>
      </c>
      <c r="E19" s="5">
        <v>42</v>
      </c>
      <c r="F19" s="5">
        <v>40</v>
      </c>
      <c r="G19" s="5">
        <v>28</v>
      </c>
      <c r="H19" s="5">
        <v>40</v>
      </c>
      <c r="I19" s="7">
        <f>IF(D19&gt;40,D19-40,0)</f>
        <v>1</v>
      </c>
      <c r="J19" s="7">
        <f>IF(E19&gt;40,E19-40,0)</f>
        <v>2</v>
      </c>
      <c r="K19" s="7">
        <f>IF(F19&gt;40,F19-40,0)</f>
        <v>0</v>
      </c>
      <c r="L19" s="7">
        <f>IF(G19&gt;40,G19-40,0)</f>
        <v>0</v>
      </c>
      <c r="M19" s="7">
        <f>IF(H19&gt;40,H19-40,0)</f>
        <v>0</v>
      </c>
      <c r="N19" s="9">
        <f t="shared" si="10"/>
        <v>1845</v>
      </c>
      <c r="O19" s="9">
        <f t="shared" si="11"/>
        <v>1890</v>
      </c>
      <c r="P19" s="9">
        <f t="shared" si="11"/>
        <v>1800</v>
      </c>
      <c r="Q19" s="9">
        <f t="shared" si="11"/>
        <v>1260</v>
      </c>
      <c r="R19" s="9">
        <f t="shared" si="11"/>
        <v>1800</v>
      </c>
      <c r="S19" s="11">
        <f t="shared" si="12"/>
        <v>22.5</v>
      </c>
      <c r="T19" s="11">
        <f t="shared" si="5"/>
        <v>45</v>
      </c>
      <c r="U19" s="11">
        <f t="shared" si="6"/>
        <v>0</v>
      </c>
      <c r="V19" s="11">
        <f t="shared" si="7"/>
        <v>0</v>
      </c>
      <c r="W19" s="11">
        <f t="shared" si="8"/>
        <v>0</v>
      </c>
      <c r="X19" s="14">
        <f t="shared" si="13"/>
        <v>1867.5</v>
      </c>
      <c r="Y19" s="14">
        <f t="shared" si="9"/>
        <v>1935</v>
      </c>
      <c r="Z19" s="14">
        <f t="shared" si="9"/>
        <v>1800</v>
      </c>
      <c r="AA19" s="14">
        <f t="shared" si="9"/>
        <v>1260</v>
      </c>
      <c r="AB19" s="14">
        <f t="shared" si="9"/>
        <v>1800</v>
      </c>
      <c r="AC19" s="3"/>
      <c r="AD19" s="3">
        <f t="shared" si="14"/>
        <v>8662.5</v>
      </c>
    </row>
    <row r="20" spans="1:30" x14ac:dyDescent="0.3">
      <c r="A20" t="s">
        <v>39</v>
      </c>
      <c r="B20" t="s">
        <v>32</v>
      </c>
      <c r="C20" s="3">
        <v>30</v>
      </c>
      <c r="D20" s="5">
        <v>39</v>
      </c>
      <c r="E20" s="5">
        <v>80</v>
      </c>
      <c r="F20" s="5">
        <v>40</v>
      </c>
      <c r="G20" s="5">
        <v>20</v>
      </c>
      <c r="H20" s="5">
        <v>40</v>
      </c>
      <c r="I20" s="7">
        <f>IF(D20&gt;40,D20-40,0)</f>
        <v>0</v>
      </c>
      <c r="J20" s="7">
        <f>IF(E20&gt;40,E20-40,0)</f>
        <v>40</v>
      </c>
      <c r="K20" s="7">
        <f>IF(F20&gt;40,F20-40,0)</f>
        <v>0</v>
      </c>
      <c r="L20" s="7">
        <f>IF(G20&gt;40,G20-40,0)</f>
        <v>0</v>
      </c>
      <c r="M20" s="7">
        <f>IF(H20&gt;40,H20-40,0)</f>
        <v>0</v>
      </c>
      <c r="N20" s="9">
        <f t="shared" si="10"/>
        <v>1170</v>
      </c>
      <c r="O20" s="9">
        <f t="shared" si="11"/>
        <v>2400</v>
      </c>
      <c r="P20" s="9">
        <f t="shared" si="11"/>
        <v>1200</v>
      </c>
      <c r="Q20" s="9">
        <f t="shared" si="11"/>
        <v>600</v>
      </c>
      <c r="R20" s="9">
        <f t="shared" si="11"/>
        <v>1200</v>
      </c>
      <c r="S20" s="11">
        <f t="shared" si="12"/>
        <v>0</v>
      </c>
      <c r="T20" s="11">
        <f t="shared" si="5"/>
        <v>600</v>
      </c>
      <c r="U20" s="11">
        <f t="shared" si="6"/>
        <v>0</v>
      </c>
      <c r="V20" s="11">
        <f t="shared" si="7"/>
        <v>0</v>
      </c>
      <c r="W20" s="11">
        <f t="shared" si="8"/>
        <v>0</v>
      </c>
      <c r="X20" s="14">
        <f t="shared" si="13"/>
        <v>1170</v>
      </c>
      <c r="Y20" s="14">
        <f t="shared" ref="Y20" si="15">O20+T20</f>
        <v>3000</v>
      </c>
      <c r="Z20" s="14">
        <f t="shared" ref="Z20" si="16">P20+U20</f>
        <v>1200</v>
      </c>
      <c r="AA20" s="14">
        <f t="shared" ref="AA20" si="17">Q20+V20</f>
        <v>600</v>
      </c>
      <c r="AB20" s="14">
        <f t="shared" ref="AB20" si="18">R20+W20</f>
        <v>1200</v>
      </c>
      <c r="AC20" s="3"/>
      <c r="AD20" s="3">
        <f t="shared" si="14"/>
        <v>7170</v>
      </c>
    </row>
    <row r="22" spans="1:30" x14ac:dyDescent="0.3">
      <c r="A22" t="s">
        <v>40</v>
      </c>
      <c r="B22" s="3"/>
      <c r="C22" s="3">
        <f>MAX(C4:C20)</f>
        <v>45</v>
      </c>
      <c r="D22" s="2">
        <f>MAX(D4:D20)</f>
        <v>55</v>
      </c>
      <c r="E22" s="2">
        <f t="shared" ref="E22:AB22" si="19">MAX(E4:E20)</f>
        <v>80</v>
      </c>
      <c r="F22" s="2">
        <f t="shared" si="19"/>
        <v>54</v>
      </c>
      <c r="G22" s="2">
        <f t="shared" si="19"/>
        <v>42</v>
      </c>
      <c r="H22" s="2">
        <f t="shared" si="19"/>
        <v>49</v>
      </c>
      <c r="I22" s="2">
        <f t="shared" si="19"/>
        <v>15</v>
      </c>
      <c r="J22" s="2">
        <f t="shared" si="19"/>
        <v>40</v>
      </c>
      <c r="K22" s="2">
        <f t="shared" si="19"/>
        <v>14</v>
      </c>
      <c r="L22" s="2">
        <f t="shared" si="19"/>
        <v>2</v>
      </c>
      <c r="M22" s="2">
        <f t="shared" si="19"/>
        <v>9</v>
      </c>
      <c r="N22" s="2">
        <f t="shared" si="19"/>
        <v>1845</v>
      </c>
      <c r="O22" s="2">
        <f t="shared" si="19"/>
        <v>2400</v>
      </c>
      <c r="P22" s="2">
        <f t="shared" si="19"/>
        <v>1800</v>
      </c>
      <c r="Q22" s="2">
        <f t="shared" si="19"/>
        <v>1260</v>
      </c>
      <c r="R22" s="2">
        <f t="shared" si="19"/>
        <v>1800</v>
      </c>
      <c r="S22" s="2">
        <f t="shared" si="19"/>
        <v>164.25</v>
      </c>
      <c r="T22" s="2">
        <f t="shared" si="19"/>
        <v>600</v>
      </c>
      <c r="U22" s="2">
        <f t="shared" si="19"/>
        <v>160.29999999999998</v>
      </c>
      <c r="V22" s="2">
        <f t="shared" si="19"/>
        <v>27.9</v>
      </c>
      <c r="W22" s="2">
        <f t="shared" si="19"/>
        <v>98.55</v>
      </c>
      <c r="X22" s="2">
        <f t="shared" si="19"/>
        <v>1867.5</v>
      </c>
      <c r="Y22" s="2">
        <f t="shared" si="19"/>
        <v>3000</v>
      </c>
      <c r="Z22" s="2">
        <f t="shared" si="19"/>
        <v>1800</v>
      </c>
      <c r="AA22" s="2">
        <f t="shared" si="19"/>
        <v>1260</v>
      </c>
      <c r="AB22" s="2">
        <f t="shared" si="19"/>
        <v>1800</v>
      </c>
      <c r="AD22" s="3">
        <f>MAX(AD4:AD20)</f>
        <v>8662.5</v>
      </c>
    </row>
    <row r="23" spans="1:30" x14ac:dyDescent="0.3">
      <c r="A23" t="s">
        <v>41</v>
      </c>
      <c r="B23" s="3"/>
      <c r="C23" s="3">
        <f>MIN(C4:C20)</f>
        <v>8.44</v>
      </c>
      <c r="D23" s="2">
        <f>MIN(D4:D20)</f>
        <v>29</v>
      </c>
      <c r="E23" s="2">
        <f t="shared" ref="E23:AB23" si="20">MIN(E4:E20)</f>
        <v>22</v>
      </c>
      <c r="F23" s="2">
        <f t="shared" si="20"/>
        <v>33</v>
      </c>
      <c r="G23" s="2">
        <f t="shared" si="20"/>
        <v>20</v>
      </c>
      <c r="H23" s="2">
        <f t="shared" si="20"/>
        <v>18</v>
      </c>
      <c r="I23" s="2">
        <f t="shared" si="20"/>
        <v>0</v>
      </c>
      <c r="J23" s="2">
        <f t="shared" si="20"/>
        <v>0</v>
      </c>
      <c r="K23" s="2">
        <f t="shared" si="20"/>
        <v>0</v>
      </c>
      <c r="L23" s="2">
        <f t="shared" si="20"/>
        <v>0</v>
      </c>
      <c r="M23" s="2">
        <f t="shared" si="20"/>
        <v>0</v>
      </c>
      <c r="N23" s="2">
        <f t="shared" si="20"/>
        <v>337.59999999999997</v>
      </c>
      <c r="O23" s="2">
        <f t="shared" si="20"/>
        <v>362.91999999999996</v>
      </c>
      <c r="P23" s="2">
        <f t="shared" si="20"/>
        <v>329.15999999999997</v>
      </c>
      <c r="Q23" s="2">
        <f t="shared" si="20"/>
        <v>346.03999999999996</v>
      </c>
      <c r="R23" s="2">
        <f t="shared" si="20"/>
        <v>322.2</v>
      </c>
      <c r="S23" s="2">
        <f t="shared" si="20"/>
        <v>0</v>
      </c>
      <c r="T23" s="2">
        <f t="shared" si="20"/>
        <v>0</v>
      </c>
      <c r="U23" s="2">
        <f t="shared" si="20"/>
        <v>0</v>
      </c>
      <c r="V23" s="2">
        <f t="shared" si="20"/>
        <v>0</v>
      </c>
      <c r="W23" s="2">
        <f t="shared" si="20"/>
        <v>0</v>
      </c>
      <c r="X23" s="2">
        <f t="shared" si="20"/>
        <v>337.59999999999997</v>
      </c>
      <c r="Y23" s="2">
        <f t="shared" si="20"/>
        <v>375.58</v>
      </c>
      <c r="Z23" s="2">
        <f t="shared" si="20"/>
        <v>329.15999999999997</v>
      </c>
      <c r="AA23" s="2">
        <f t="shared" si="20"/>
        <v>350.26</v>
      </c>
      <c r="AB23" s="2">
        <f t="shared" si="20"/>
        <v>322.2</v>
      </c>
      <c r="AD23" s="3">
        <f>MIN(AD4:AD20)</f>
        <v>1730.1999999999998</v>
      </c>
    </row>
    <row r="24" spans="1:30" x14ac:dyDescent="0.3">
      <c r="A24" t="s">
        <v>42</v>
      </c>
      <c r="B24" s="3"/>
      <c r="C24" s="3">
        <f>AVERAGE(C4:C20)</f>
        <v>22.490588235294116</v>
      </c>
      <c r="D24" s="2">
        <f>AVERAGE(D4:D20)</f>
        <v>40.882352941176471</v>
      </c>
      <c r="E24" s="2">
        <f t="shared" ref="E24:AB24" si="21">AVERAGE(E4:E20)</f>
        <v>45.117647058823529</v>
      </c>
      <c r="F24" s="2">
        <f t="shared" si="21"/>
        <v>41.529411764705884</v>
      </c>
      <c r="G24" s="2">
        <f t="shared" si="21"/>
        <v>35.882352941176471</v>
      </c>
      <c r="H24" s="2">
        <f t="shared" si="21"/>
        <v>37.411764705882355</v>
      </c>
      <c r="I24" s="2">
        <f t="shared" si="21"/>
        <v>2.0588235294117645</v>
      </c>
      <c r="J24" s="2">
        <f t="shared" si="21"/>
        <v>6.1764705882352944</v>
      </c>
      <c r="K24" s="2">
        <f t="shared" si="21"/>
        <v>2.1764705882352939</v>
      </c>
      <c r="L24" s="2">
        <f t="shared" si="21"/>
        <v>0.29411764705882354</v>
      </c>
      <c r="M24" s="2">
        <f t="shared" si="21"/>
        <v>1.1176470588235294</v>
      </c>
      <c r="N24" s="2">
        <f t="shared" si="21"/>
        <v>915.4764705882352</v>
      </c>
      <c r="O24" s="2">
        <f t="shared" si="21"/>
        <v>1025.0188235294117</v>
      </c>
      <c r="P24" s="2">
        <f t="shared" si="21"/>
        <v>936.59764705882344</v>
      </c>
      <c r="Q24" s="2">
        <f t="shared" si="21"/>
        <v>794.46705882352933</v>
      </c>
      <c r="R24" s="2">
        <f t="shared" si="21"/>
        <v>845</v>
      </c>
      <c r="S24" s="2">
        <f t="shared" si="21"/>
        <v>21.841176470588234</v>
      </c>
      <c r="T24" s="2">
        <f t="shared" si="21"/>
        <v>74.821176470588242</v>
      </c>
      <c r="U24" s="2">
        <f t="shared" si="21"/>
        <v>24.126470588235289</v>
      </c>
      <c r="V24" s="2">
        <f t="shared" si="21"/>
        <v>3.4717647058823529</v>
      </c>
      <c r="W24" s="2">
        <f t="shared" si="21"/>
        <v>10.591176470588236</v>
      </c>
      <c r="X24" s="2">
        <f t="shared" si="21"/>
        <v>937.31764705882347</v>
      </c>
      <c r="Y24" s="2">
        <f t="shared" si="21"/>
        <v>1099.8400000000001</v>
      </c>
      <c r="Z24" s="2">
        <f t="shared" si="21"/>
        <v>960.72411764705885</v>
      </c>
      <c r="AA24" s="2">
        <f t="shared" si="21"/>
        <v>797.93882352941182</v>
      </c>
      <c r="AB24" s="2">
        <f t="shared" si="21"/>
        <v>855.59117647058827</v>
      </c>
      <c r="AD24" s="3">
        <f>AVERAGE(AD4:AD20)</f>
        <v>4651.411764705882</v>
      </c>
    </row>
    <row r="25" spans="1:30" x14ac:dyDescent="0.3">
      <c r="A25" t="s">
        <v>43</v>
      </c>
      <c r="D25">
        <f>SUM(D4:D20)</f>
        <v>695</v>
      </c>
      <c r="E25">
        <f t="shared" ref="E25:AB25" si="22">SUM(E4:E20)</f>
        <v>767</v>
      </c>
      <c r="F25">
        <f t="shared" si="22"/>
        <v>706</v>
      </c>
      <c r="G25">
        <f t="shared" si="22"/>
        <v>610</v>
      </c>
      <c r="H25">
        <f t="shared" si="22"/>
        <v>636</v>
      </c>
      <c r="I25">
        <f t="shared" si="22"/>
        <v>35</v>
      </c>
      <c r="J25">
        <f t="shared" si="22"/>
        <v>105</v>
      </c>
      <c r="K25">
        <f t="shared" si="22"/>
        <v>37</v>
      </c>
      <c r="L25">
        <f t="shared" si="22"/>
        <v>5</v>
      </c>
      <c r="M25">
        <f t="shared" si="22"/>
        <v>19</v>
      </c>
      <c r="N25">
        <f t="shared" si="22"/>
        <v>15563.099999999999</v>
      </c>
      <c r="O25">
        <f t="shared" si="22"/>
        <v>17425.32</v>
      </c>
      <c r="P25">
        <f t="shared" si="22"/>
        <v>15922.159999999998</v>
      </c>
      <c r="Q25">
        <f t="shared" si="22"/>
        <v>13505.939999999999</v>
      </c>
      <c r="R25">
        <f t="shared" si="22"/>
        <v>14365</v>
      </c>
      <c r="S25">
        <f t="shared" si="22"/>
        <v>371.29999999999995</v>
      </c>
      <c r="T25">
        <f t="shared" si="22"/>
        <v>1271.96</v>
      </c>
      <c r="U25">
        <f t="shared" si="22"/>
        <v>410.14999999999992</v>
      </c>
      <c r="V25">
        <f t="shared" si="22"/>
        <v>59.019999999999996</v>
      </c>
      <c r="W25">
        <f t="shared" si="22"/>
        <v>180.05</v>
      </c>
      <c r="X25">
        <f t="shared" si="22"/>
        <v>15934.4</v>
      </c>
      <c r="Y25">
        <f t="shared" si="22"/>
        <v>18697.280000000002</v>
      </c>
      <c r="Z25">
        <f t="shared" si="22"/>
        <v>16332.31</v>
      </c>
      <c r="AA25">
        <f t="shared" si="22"/>
        <v>13564.960000000001</v>
      </c>
      <c r="AB25">
        <f t="shared" si="22"/>
        <v>14545.050000000001</v>
      </c>
      <c r="AD25" s="3">
        <f>SUM(AD4:AD20)</f>
        <v>79074</v>
      </c>
    </row>
  </sheetData>
  <pageMargins left="0.7" right="0.7" top="0.75" bottom="0.75" header="0.3" footer="0.3"/>
  <pageSetup scale="33" fitToHeight="0" orientation="landscape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</vt:lpstr>
      <vt:lpstr>Overtime=Bonus</vt:lpstr>
      <vt:lpstr>Jan 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Thadi, Harika Nath</dc:creator>
  <cp:lastModifiedBy>Thadi, Harika Nath</cp:lastModifiedBy>
  <cp:lastPrinted>2025-12-29T17:11:48Z</cp:lastPrinted>
  <dcterms:created xsi:type="dcterms:W3CDTF">2025-12-29T15:12:07Z</dcterms:created>
  <dcterms:modified xsi:type="dcterms:W3CDTF">2025-12-29T17:21:19Z</dcterms:modified>
</cp:coreProperties>
</file>